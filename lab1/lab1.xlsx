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niversity\labs\4.2\ERP\lab1\"/>
    </mc:Choice>
  </mc:AlternateContent>
  <bookViews>
    <workbookView xWindow="0" yWindow="600" windowWidth="28800" windowHeight="124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6" i="1" l="1"/>
  <c r="T26" i="1"/>
  <c r="U12" i="1"/>
  <c r="T12" i="1"/>
  <c r="U8" i="1"/>
  <c r="T8" i="1"/>
  <c r="U4" i="1"/>
  <c r="T4" i="1"/>
</calcChain>
</file>

<file path=xl/sharedStrings.xml><?xml version="1.0" encoding="utf-8"?>
<sst xmlns="http://schemas.openxmlformats.org/spreadsheetml/2006/main" count="18" uniqueCount="18">
  <si>
    <t>Вариант</t>
  </si>
  <si>
    <t>Показатель</t>
  </si>
  <si>
    <t>Значение по годам</t>
  </si>
  <si>
    <t>Численность персонала, чел.</t>
  </si>
  <si>
    <t>Стоимость основных средств, тыс.руб.</t>
  </si>
  <si>
    <t>Затраты на обучение персонала, руб.</t>
  </si>
  <si>
    <t>Количество клиентов, чел.</t>
  </si>
  <si>
    <t>Затраты на НИОКР, тыс.руб.</t>
  </si>
  <si>
    <t>Количество конкурентов, шт.</t>
  </si>
  <si>
    <t>Объем реализации, тыс.ед..</t>
  </si>
  <si>
    <t>Себестоимость единицы продукции, тыс.руб.</t>
  </si>
  <si>
    <t>Качество продукции,%</t>
  </si>
  <si>
    <t>5,6</t>
  </si>
  <si>
    <t>Обновление продукции,%</t>
  </si>
  <si>
    <t>Экспоненциальная</t>
  </si>
  <si>
    <t>Линейная</t>
  </si>
  <si>
    <t>Логарифмическая</t>
  </si>
  <si>
    <t>Полиномиальная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</si>
</sst>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/>
    <xf numFmtId="0" fontId="0" fillId="2" borderId="0" xfId="0" applyFill="1"/>
    <xf numFmtId="0" fontId="0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Обновление продукции,%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Лист1!$C$2:$I$2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381232"/>
        <c:axId val="344387112"/>
      </c:lineChart>
      <c:catAx>
        <c:axId val="344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87112"/>
        <c:crosses val="autoZero"/>
        <c:auto val="1"/>
        <c:lblAlgn val="ctr"/>
        <c:lblOffset val="100"/>
        <c:noMultiLvlLbl val="0"/>
      </c:catAx>
      <c:valAx>
        <c:axId val="34438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8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Обновление продукции,%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Лист1!$C$2:$I$2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007880"/>
        <c:axId val="349005136"/>
      </c:lineChart>
      <c:catAx>
        <c:axId val="3490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05136"/>
        <c:crosses val="autoZero"/>
        <c:auto val="1"/>
        <c:lblAlgn val="ctr"/>
        <c:lblOffset val="100"/>
        <c:noMultiLvlLbl val="0"/>
      </c:catAx>
      <c:valAx>
        <c:axId val="3490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0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Обновление продукции,%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Лист1!$C$2:$I$2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751368"/>
        <c:axId val="345131512"/>
      </c:lineChart>
      <c:catAx>
        <c:axId val="34675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31512"/>
        <c:crosses val="autoZero"/>
        <c:auto val="1"/>
        <c:lblAlgn val="ctr"/>
        <c:lblOffset val="100"/>
        <c:noMultiLvlLbl val="0"/>
      </c:catAx>
      <c:valAx>
        <c:axId val="3451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51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Обновление продукции,%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Лист1!$C$2:$I$2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749408"/>
        <c:axId val="346753720"/>
      </c:lineChart>
      <c:catAx>
        <c:axId val="34674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53720"/>
        <c:crosses val="autoZero"/>
        <c:auto val="1"/>
        <c:lblAlgn val="ctr"/>
        <c:lblOffset val="100"/>
        <c:noMultiLvlLbl val="0"/>
      </c:catAx>
      <c:valAx>
        <c:axId val="34675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4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38100</xdr:rowOff>
    </xdr:from>
    <xdr:to>
      <xdr:col>18</xdr:col>
      <xdr:colOff>342900</xdr:colOff>
      <xdr:row>5</xdr:row>
      <xdr:rowOff>361950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18</xdr:col>
      <xdr:colOff>304800</xdr:colOff>
      <xdr:row>9</xdr:row>
      <xdr:rowOff>923925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18</xdr:col>
      <xdr:colOff>304800</xdr:colOff>
      <xdr:row>22</xdr:row>
      <xdr:rowOff>28575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18</xdr:col>
      <xdr:colOff>304800</xdr:colOff>
      <xdr:row>39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workbookViewId="0">
      <selection activeCell="T7" sqref="T7"/>
    </sheetView>
  </sheetViews>
  <sheetFormatPr defaultRowHeight="15" x14ac:dyDescent="0.25"/>
  <sheetData>
    <row r="1" spans="1:21" ht="16.5" thickBot="1" x14ac:dyDescent="0.3">
      <c r="A1" s="1" t="s">
        <v>0</v>
      </c>
      <c r="B1" s="6" t="s">
        <v>1</v>
      </c>
      <c r="C1" s="9" t="s">
        <v>2</v>
      </c>
      <c r="D1" s="8"/>
      <c r="E1" s="8"/>
      <c r="F1" s="8"/>
      <c r="G1" s="8"/>
      <c r="H1" s="8"/>
      <c r="I1" s="10"/>
    </row>
    <row r="2" spans="1:21" ht="16.5" thickBot="1" x14ac:dyDescent="0.3">
      <c r="A2" s="2"/>
      <c r="B2" s="7"/>
      <c r="C2" s="3">
        <v>2014</v>
      </c>
      <c r="D2" s="3">
        <v>2015</v>
      </c>
      <c r="E2" s="3">
        <v>2016</v>
      </c>
      <c r="F2" s="3">
        <v>2017</v>
      </c>
      <c r="G2" s="3">
        <v>2018</v>
      </c>
      <c r="H2" s="3">
        <v>2019</v>
      </c>
      <c r="I2" s="3">
        <v>2020</v>
      </c>
    </row>
    <row r="3" spans="1:21" ht="63.75" thickBot="1" x14ac:dyDescent="0.45">
      <c r="A3" s="4">
        <v>1</v>
      </c>
      <c r="B3" s="5" t="s">
        <v>3</v>
      </c>
      <c r="C3" s="3">
        <v>200</v>
      </c>
      <c r="D3" s="3">
        <v>205</v>
      </c>
      <c r="E3" s="3">
        <v>215</v>
      </c>
      <c r="F3" s="3">
        <v>200</v>
      </c>
      <c r="G3" s="3">
        <v>195</v>
      </c>
      <c r="H3" s="3">
        <v>230</v>
      </c>
      <c r="I3" s="3">
        <v>280</v>
      </c>
      <c r="L3" s="14" t="s">
        <v>14</v>
      </c>
      <c r="T3">
        <v>8</v>
      </c>
      <c r="U3">
        <v>9</v>
      </c>
    </row>
    <row r="4" spans="1:21" ht="95.25" thickBot="1" x14ac:dyDescent="0.3">
      <c r="A4" s="4">
        <v>2</v>
      </c>
      <c r="B4" s="5" t="s">
        <v>4</v>
      </c>
      <c r="C4" s="3">
        <v>52</v>
      </c>
      <c r="D4" s="3">
        <v>52</v>
      </c>
      <c r="E4" s="3">
        <v>59</v>
      </c>
      <c r="F4" s="3">
        <v>60</v>
      </c>
      <c r="G4" s="3">
        <v>68</v>
      </c>
      <c r="H4" s="3">
        <v>70</v>
      </c>
      <c r="I4" s="3">
        <v>77</v>
      </c>
      <c r="T4">
        <f>1.1299*EXP(0.3348*T3)</f>
        <v>16.453350482718086</v>
      </c>
      <c r="U4">
        <f>1.1299*EXP(0.3348*U3)</f>
        <v>22.996203411374179</v>
      </c>
    </row>
    <row r="5" spans="1:21" ht="95.25" thickBot="1" x14ac:dyDescent="0.3">
      <c r="A5" s="4">
        <v>3</v>
      </c>
      <c r="B5" s="5" t="s">
        <v>5</v>
      </c>
      <c r="C5" s="3">
        <v>66</v>
      </c>
      <c r="D5" s="3">
        <v>62</v>
      </c>
      <c r="E5" s="3">
        <v>50</v>
      </c>
      <c r="F5" s="3">
        <v>51</v>
      </c>
      <c r="G5" s="3">
        <v>45</v>
      </c>
      <c r="H5" s="3">
        <v>46</v>
      </c>
      <c r="I5" s="3">
        <v>35</v>
      </c>
    </row>
    <row r="6" spans="1:21" ht="63.75" thickBot="1" x14ac:dyDescent="0.3">
      <c r="A6" s="4">
        <v>4</v>
      </c>
      <c r="B6" s="5" t="s">
        <v>6</v>
      </c>
      <c r="C6" s="3">
        <v>115</v>
      </c>
      <c r="D6" s="3">
        <v>112</v>
      </c>
      <c r="E6" s="3">
        <v>130</v>
      </c>
      <c r="F6" s="3">
        <v>145</v>
      </c>
      <c r="G6" s="3">
        <v>150</v>
      </c>
      <c r="H6" s="3">
        <v>190</v>
      </c>
      <c r="I6" s="3">
        <v>210</v>
      </c>
    </row>
    <row r="7" spans="1:21" ht="79.5" thickBot="1" x14ac:dyDescent="0.45">
      <c r="A7" s="4">
        <v>5</v>
      </c>
      <c r="B7" s="5" t="s">
        <v>7</v>
      </c>
      <c r="C7" s="3">
        <v>22</v>
      </c>
      <c r="D7" s="3">
        <v>12</v>
      </c>
      <c r="E7" s="3">
        <v>15</v>
      </c>
      <c r="F7" s="3">
        <v>16</v>
      </c>
      <c r="G7" s="3">
        <v>18</v>
      </c>
      <c r="H7" s="3">
        <v>19</v>
      </c>
      <c r="I7" s="3">
        <v>22</v>
      </c>
      <c r="L7" s="14" t="s">
        <v>15</v>
      </c>
    </row>
    <row r="8" spans="1:21" ht="79.5" thickBot="1" x14ac:dyDescent="0.3">
      <c r="A8" s="4">
        <v>6</v>
      </c>
      <c r="B8" s="5" t="s">
        <v>8</v>
      </c>
      <c r="C8" s="3">
        <v>10</v>
      </c>
      <c r="D8" s="3">
        <v>10</v>
      </c>
      <c r="E8" s="3">
        <v>15</v>
      </c>
      <c r="F8" s="3">
        <v>15</v>
      </c>
      <c r="G8" s="3">
        <v>18</v>
      </c>
      <c r="H8" s="3">
        <v>18</v>
      </c>
      <c r="I8" s="3">
        <v>20</v>
      </c>
      <c r="T8">
        <f>1.6429*T3-1.1429</f>
        <v>12.000299999999999</v>
      </c>
      <c r="U8">
        <f>1.6429*U3-1.1429</f>
        <v>13.6432</v>
      </c>
    </row>
    <row r="9" spans="1:21" ht="63.75" thickBot="1" x14ac:dyDescent="0.3">
      <c r="A9" s="4">
        <v>7</v>
      </c>
      <c r="B9" s="5" t="s">
        <v>9</v>
      </c>
      <c r="C9" s="3">
        <v>12006</v>
      </c>
      <c r="D9" s="3">
        <v>12819</v>
      </c>
      <c r="E9" s="3">
        <v>13615</v>
      </c>
      <c r="F9" s="3">
        <v>14681</v>
      </c>
      <c r="G9" s="3">
        <v>19222</v>
      </c>
      <c r="H9" s="3">
        <v>20500</v>
      </c>
      <c r="I9" s="3">
        <v>21000</v>
      </c>
    </row>
    <row r="10" spans="1:21" ht="111" thickBot="1" x14ac:dyDescent="0.3">
      <c r="A10" s="4">
        <v>8</v>
      </c>
      <c r="B10" s="5" t="s">
        <v>10</v>
      </c>
      <c r="C10" s="3">
        <v>89</v>
      </c>
      <c r="D10" s="3">
        <v>92</v>
      </c>
      <c r="E10" s="3">
        <v>92</v>
      </c>
      <c r="F10" s="3">
        <v>90</v>
      </c>
      <c r="G10" s="3">
        <v>89</v>
      </c>
      <c r="H10" s="3">
        <v>89</v>
      </c>
      <c r="I10" s="3">
        <v>90</v>
      </c>
    </row>
    <row r="11" spans="1:21" ht="63.75" thickBot="1" x14ac:dyDescent="0.45">
      <c r="A11" s="4">
        <v>9</v>
      </c>
      <c r="B11" s="5" t="s">
        <v>11</v>
      </c>
      <c r="C11" s="3">
        <v>5</v>
      </c>
      <c r="D11" s="3">
        <v>5</v>
      </c>
      <c r="E11" s="3">
        <v>6</v>
      </c>
      <c r="F11" s="3" t="s">
        <v>12</v>
      </c>
      <c r="G11" s="3">
        <v>7</v>
      </c>
      <c r="H11" s="3">
        <v>8</v>
      </c>
      <c r="I11" s="3">
        <v>10</v>
      </c>
      <c r="L11" s="14" t="s">
        <v>16</v>
      </c>
      <c r="M11" s="14"/>
    </row>
    <row r="12" spans="1:21" ht="63.75" thickBot="1" x14ac:dyDescent="0.3">
      <c r="A12" s="11">
        <v>10</v>
      </c>
      <c r="B12" s="12" t="s">
        <v>13</v>
      </c>
      <c r="C12" s="13">
        <v>2</v>
      </c>
      <c r="D12" s="13">
        <v>2</v>
      </c>
      <c r="E12" s="13">
        <v>2</v>
      </c>
      <c r="F12" s="13">
        <v>5</v>
      </c>
      <c r="G12" s="13">
        <v>7</v>
      </c>
      <c r="H12" s="13">
        <v>9</v>
      </c>
      <c r="I12" s="13">
        <v>11</v>
      </c>
      <c r="T12">
        <f>4.6315*LN(T3)-0.2121</f>
        <v>9.4188335002901589</v>
      </c>
      <c r="U12">
        <f>4.6315*LN(U3)-0.2121</f>
        <v>9.9643456299327013</v>
      </c>
    </row>
    <row r="25" spans="12:21" ht="26.25" x14ac:dyDescent="0.4">
      <c r="L25" s="14" t="s">
        <v>17</v>
      </c>
      <c r="T25" s="15"/>
      <c r="U25" s="15"/>
    </row>
    <row r="26" spans="12:21" x14ac:dyDescent="0.25">
      <c r="T26" s="16">
        <f>0.2143*T3^2-0.0714*T3+1.4286</f>
        <v>14.5726</v>
      </c>
      <c r="U26" s="16">
        <f>0.2143*U3^2-0.0714*U3+1.4286</f>
        <v>18.144299999999998</v>
      </c>
    </row>
    <row r="27" spans="12:21" x14ac:dyDescent="0.25">
      <c r="T27" s="15"/>
      <c r="U27" s="15"/>
    </row>
  </sheetData>
  <mergeCells count="2">
    <mergeCell ref="B1:B2"/>
    <mergeCell ref="C1:I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Yakovlevich</dc:creator>
  <cp:lastModifiedBy>Pavel Yakovlevich</cp:lastModifiedBy>
  <dcterms:created xsi:type="dcterms:W3CDTF">2021-01-27T12:10:39Z</dcterms:created>
  <dcterms:modified xsi:type="dcterms:W3CDTF">2021-01-27T12:23:06Z</dcterms:modified>
</cp:coreProperties>
</file>