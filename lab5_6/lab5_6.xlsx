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sdx" ContentType="application/vnd.ms-visio.drawing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niversity\labs\4.2\ERP\labs\OerpC\ïÉ 5-6\"/>
    </mc:Choice>
  </mc:AlternateContent>
  <bookViews>
    <workbookView xWindow="0" yWindow="600" windowWidth="21570" windowHeight="8085" activeTab="4"/>
  </bookViews>
  <sheets>
    <sheet name="Задание" sheetId="2" r:id="rId1"/>
    <sheet name="ОсновныеДанные" sheetId="1" r:id="rId2"/>
    <sheet name="ЗаказыКлиентов" sheetId="4" r:id="rId3"/>
    <sheet name="СкладОстатки" sheetId="3" r:id="rId4"/>
    <sheet name="Лабораторная работа №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5" l="1"/>
  <c r="G25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H27" i="5"/>
  <c r="I39" i="5"/>
  <c r="H39" i="5" s="1"/>
  <c r="I38" i="5"/>
  <c r="H38" i="5" s="1"/>
  <c r="I37" i="5"/>
  <c r="I36" i="5"/>
  <c r="H36" i="5" s="1"/>
  <c r="I35" i="5"/>
  <c r="H35" i="5" s="1"/>
  <c r="I34" i="5"/>
  <c r="I33" i="5"/>
  <c r="H33" i="5" s="1"/>
  <c r="I32" i="5"/>
  <c r="H32" i="5" s="1"/>
  <c r="I31" i="5"/>
  <c r="I30" i="5"/>
  <c r="I29" i="5"/>
  <c r="I28" i="5"/>
  <c r="H28" i="5" s="1"/>
  <c r="I27" i="5"/>
  <c r="H26" i="5"/>
  <c r="G26" i="5" s="1"/>
  <c r="H31" i="5"/>
  <c r="H25" i="5"/>
  <c r="E32" i="3"/>
  <c r="I25" i="5"/>
  <c r="D37" i="5"/>
  <c r="D36" i="5"/>
  <c r="D35" i="5"/>
  <c r="D34" i="5"/>
  <c r="D33" i="5"/>
  <c r="D31" i="5"/>
  <c r="D30" i="5"/>
  <c r="D29" i="5"/>
  <c r="D28" i="5"/>
  <c r="D27" i="5"/>
  <c r="D26" i="5"/>
  <c r="C39" i="5"/>
  <c r="C38" i="5"/>
  <c r="C30" i="5"/>
  <c r="C31" i="5"/>
  <c r="C32" i="5"/>
  <c r="C34" i="5"/>
  <c r="C35" i="5"/>
  <c r="C36" i="5"/>
  <c r="C37" i="5"/>
  <c r="C27" i="5"/>
  <c r="C29" i="5"/>
  <c r="C28" i="5"/>
  <c r="C26" i="5"/>
  <c r="C25" i="5"/>
  <c r="H14" i="5"/>
  <c r="H15" i="5"/>
  <c r="H12" i="5"/>
  <c r="C16" i="5"/>
  <c r="H37" i="5" l="1"/>
  <c r="H34" i="5"/>
  <c r="H30" i="5"/>
  <c r="H29" i="5"/>
  <c r="E16" i="3" l="1"/>
  <c r="E8" i="3"/>
  <c r="E15" i="5"/>
  <c r="F15" i="5" s="1"/>
  <c r="E14" i="5"/>
  <c r="F14" i="5" s="1"/>
  <c r="E13" i="5"/>
  <c r="E12" i="5"/>
  <c r="D14" i="5"/>
  <c r="D13" i="5"/>
  <c r="D12" i="5"/>
  <c r="C13" i="5"/>
  <c r="C14" i="5"/>
  <c r="C15" i="5"/>
  <c r="C12" i="5"/>
  <c r="B14" i="5"/>
  <c r="B15" i="5"/>
  <c r="B13" i="5"/>
  <c r="E4" i="5"/>
  <c r="H4" i="5" s="1"/>
  <c r="E5" i="5"/>
  <c r="D5" i="5"/>
  <c r="D4" i="5"/>
  <c r="C5" i="5"/>
  <c r="C4" i="5"/>
  <c r="B5" i="5"/>
  <c r="F12" i="5" l="1"/>
  <c r="I16" i="5" s="1"/>
  <c r="H16" i="5" s="1"/>
  <c r="H5" i="5"/>
  <c r="F5" i="5" s="1"/>
  <c r="F4" i="5"/>
  <c r="I13" i="5" l="1"/>
  <c r="H13" i="5" s="1"/>
  <c r="F13" i="5" s="1"/>
  <c r="F16" i="5"/>
</calcChain>
</file>

<file path=xl/sharedStrings.xml><?xml version="1.0" encoding="utf-8"?>
<sst xmlns="http://schemas.openxmlformats.org/spreadsheetml/2006/main" count="391" uniqueCount="145">
  <si>
    <t>1.</t>
  </si>
  <si>
    <t>Остатки на начало периода  готовой продукции</t>
  </si>
  <si>
    <t>Котлеты киевские</t>
  </si>
  <si>
    <t>Кол-во</t>
  </si>
  <si>
    <t>ед.изм.</t>
  </si>
  <si>
    <t>кг</t>
  </si>
  <si>
    <t>Цыплята фаршированные</t>
  </si>
  <si>
    <t>2.</t>
  </si>
  <si>
    <t>Политика запасов готовой продукции</t>
  </si>
  <si>
    <t>3.</t>
  </si>
  <si>
    <t>Остатки на начало периода материалов</t>
  </si>
  <si>
    <t>Остатки на начало периода полуфабрикатов</t>
  </si>
  <si>
    <t>Предприятие выпускает и реализует котлеты киевские, цыплята фаршированные,  пельмени.</t>
  </si>
  <si>
    <t>тушка цыпленка</t>
  </si>
  <si>
    <t>Политика запасов полуфабрикатов</t>
  </si>
  <si>
    <t>На конец периода запас должен составлять % от потребности текущего периода</t>
  </si>
  <si>
    <t>говядина</t>
  </si>
  <si>
    <t>свинина</t>
  </si>
  <si>
    <t>цыплята</t>
  </si>
  <si>
    <t>яйцо</t>
  </si>
  <si>
    <t>лук репчатый</t>
  </si>
  <si>
    <t>перец черный</t>
  </si>
  <si>
    <t>мука</t>
  </si>
  <si>
    <t>соль</t>
  </si>
  <si>
    <t>разрыхлитель для теста</t>
  </si>
  <si>
    <t>лук зеленый</t>
  </si>
  <si>
    <t>петрушка свежая</t>
  </si>
  <si>
    <t>шт</t>
  </si>
  <si>
    <t>гр</t>
  </si>
  <si>
    <t>Политика запасов материалов</t>
  </si>
  <si>
    <t>4.</t>
  </si>
  <si>
    <t>5.</t>
  </si>
  <si>
    <t>6.</t>
  </si>
  <si>
    <t xml:space="preserve">Производство организовано в  цехах: </t>
  </si>
  <si>
    <t>Спецификация "Фарш говяжий"</t>
  </si>
  <si>
    <t>Материал</t>
  </si>
  <si>
    <t>норма</t>
  </si>
  <si>
    <t>1 кг</t>
  </si>
  <si>
    <t>8.</t>
  </si>
  <si>
    <t>шт.</t>
  </si>
  <si>
    <t>перец</t>
  </si>
  <si>
    <t>Спецификация "Фарш домашний"</t>
  </si>
  <si>
    <t>Свинина</t>
  </si>
  <si>
    <t>9.</t>
  </si>
  <si>
    <t>сахар</t>
  </si>
  <si>
    <t>Спецификация "Пельмени из говядины"</t>
  </si>
  <si>
    <t>Фарш говяжий</t>
  </si>
  <si>
    <t>кг.</t>
  </si>
  <si>
    <t>Спецификация "Пельмени домашние"</t>
  </si>
  <si>
    <t>Фарш домашний</t>
  </si>
  <si>
    <t>Спецификация "Котлета по киевски"</t>
  </si>
  <si>
    <t>Масло сливочное</t>
  </si>
  <si>
    <t>Сухари панировочные</t>
  </si>
  <si>
    <t>Петрушка</t>
  </si>
  <si>
    <t>Фарш куриный</t>
  </si>
  <si>
    <t>Спецификация "Цыпленок фаршированный"</t>
  </si>
  <si>
    <t>Тушка цыпленка</t>
  </si>
  <si>
    <t>Блины</t>
  </si>
  <si>
    <t>Лук зеленый</t>
  </si>
  <si>
    <t>Спецификация "Фарш куриный"</t>
  </si>
  <si>
    <t>Технологическая карта "Фарш говяжий"</t>
  </si>
  <si>
    <t>операция</t>
  </si>
  <si>
    <t>трудоем., чел-час</t>
  </si>
  <si>
    <t>станкоемк., маш-ч</t>
  </si>
  <si>
    <t>оборудование</t>
  </si>
  <si>
    <t>разрезка мяса на куски</t>
  </si>
  <si>
    <t>10 кг</t>
  </si>
  <si>
    <t>100 кг</t>
  </si>
  <si>
    <t>приготовление фарша</t>
  </si>
  <si>
    <t>оборудование 1</t>
  </si>
  <si>
    <t>оборудование 2</t>
  </si>
  <si>
    <t>материалы</t>
  </si>
  <si>
    <t>Технологическая карта "Фарш домашний"</t>
  </si>
  <si>
    <t>Технологическая карта "Фарш куриный"</t>
  </si>
  <si>
    <t>цех</t>
  </si>
  <si>
    <t>№1. В разделочном цехе выполняют операции по производству фарша</t>
  </si>
  <si>
    <t xml:space="preserve">№2. В цехе  мучных заготовок выполняют операции по производству теста и выпечки блинов </t>
  </si>
  <si>
    <t>№3. В цехе готовой продукции выполняют операции по производству готовой продукции</t>
  </si>
  <si>
    <t>№1</t>
  </si>
  <si>
    <t>приготовление теста</t>
  </si>
  <si>
    <t>№2</t>
  </si>
  <si>
    <t>оборудование 3</t>
  </si>
  <si>
    <t>Спецификация "Блины"</t>
  </si>
  <si>
    <t>Спецификация "Тесто"</t>
  </si>
  <si>
    <t>Технологическая карта "Тесто"</t>
  </si>
  <si>
    <t>Тесто</t>
  </si>
  <si>
    <t>Технологическая карта "Пельмени из говядины"</t>
  </si>
  <si>
    <t>Лепка пельменей</t>
  </si>
  <si>
    <t>10кг</t>
  </si>
  <si>
    <t>№3</t>
  </si>
  <si>
    <t>оборудование 4</t>
  </si>
  <si>
    <t>Заморозка пельменей</t>
  </si>
  <si>
    <t>оборудование 5</t>
  </si>
  <si>
    <t xml:space="preserve">Тесто </t>
  </si>
  <si>
    <t>Фарш говяжий, тесто</t>
  </si>
  <si>
    <t>Технологическая карта "Пельмени домашние"</t>
  </si>
  <si>
    <t>Фарш домашний, тесто</t>
  </si>
  <si>
    <t>Технологическая карта "Котлета по киевски"</t>
  </si>
  <si>
    <t>Лепка котлеты</t>
  </si>
  <si>
    <t>Фарш куриный, масло сливочное, петрушка</t>
  </si>
  <si>
    <t>обвалка котлеты</t>
  </si>
  <si>
    <t>заморозка котлеты</t>
  </si>
  <si>
    <t>Технологическая карта "Блины"</t>
  </si>
  <si>
    <t>выпечка блинов</t>
  </si>
  <si>
    <t>тесто, масло сливочное</t>
  </si>
  <si>
    <t>оборудование 6</t>
  </si>
  <si>
    <t>Технологическая карта "Цыпленок фаршированный"</t>
  </si>
  <si>
    <t>фаршировка тушки цыпленка</t>
  </si>
  <si>
    <t>оборудование 7</t>
  </si>
  <si>
    <t>тушка цыпленка, блины, лук, петрушка</t>
  </si>
  <si>
    <t>упаковка тушки цыпленка</t>
  </si>
  <si>
    <t>пленка пищевая</t>
  </si>
  <si>
    <t>м кв</t>
  </si>
  <si>
    <t>по спецификации</t>
  </si>
  <si>
    <t>Заказы клиентов</t>
  </si>
  <si>
    <t>Котлеты по киевски</t>
  </si>
  <si>
    <t>Цыпленок фаршированный</t>
  </si>
  <si>
    <t>Определить  потребность в материалах на период с учетом  данных, представленных на листах "Основные данные", "Остатки материалов", "Заказы клиентов"</t>
  </si>
  <si>
    <t>пельмени домашние</t>
  </si>
  <si>
    <t>7.</t>
  </si>
  <si>
    <t>фарш домашний</t>
  </si>
  <si>
    <t>блины</t>
  </si>
  <si>
    <t>фарш куриный</t>
  </si>
  <si>
    <t>Единица измерения</t>
  </si>
  <si>
    <t>Остаток на начало</t>
  </si>
  <si>
    <t>Объем производства</t>
  </si>
  <si>
    <t>Объем закупки</t>
  </si>
  <si>
    <t>Остаток на конец</t>
  </si>
  <si>
    <t>Уровень 0</t>
  </si>
  <si>
    <t>Единицы измерения</t>
  </si>
  <si>
    <t>Уровень 1</t>
  </si>
  <si>
    <t>Уровень 2</t>
  </si>
  <si>
    <t>Материал(Полуфабрикаты)</t>
  </si>
  <si>
    <t>Материал(Материалы)</t>
  </si>
  <si>
    <t>Потребность на объем 
производства продукции 
верхнего уровня в материале</t>
  </si>
  <si>
    <t>Потребность на объем 
производства продукции 
верхнего уровня в полуфабрикате</t>
  </si>
  <si>
    <t>фарш говяжий + фарш домашний</t>
  </si>
  <si>
    <t>фарш куриный + тесто + фарш говяжий + фарш домашний</t>
  </si>
  <si>
    <t>фарш куриный + фарш говяжий + фарш домашний</t>
  </si>
  <si>
    <t>фарш куриный + тесто +  фарш говяжий + фарш домашний</t>
  </si>
  <si>
    <t>фарш куриный + цыпленок фаршированный</t>
  </si>
  <si>
    <t>котлеты по киевски + блины</t>
  </si>
  <si>
    <t>тесто</t>
  </si>
  <si>
    <t>цыпленок</t>
  </si>
  <si>
    <t>котлеты по киевски + цыпленок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</si>
</sst>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1" xfId="0" applyFill="1" applyBorder="1"/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1" xfId="0" applyFill="1" applyBorder="1"/>
    <xf numFmtId="0" fontId="2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1" fillId="6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0" fillId="7" borderId="0" xfId="0" applyFill="1"/>
    <xf numFmtId="0" fontId="0" fillId="0" borderId="2" xfId="0" applyBorder="1"/>
    <xf numFmtId="0" fontId="0" fillId="0" borderId="3" xfId="0" applyBorder="1"/>
    <xf numFmtId="0" fontId="0" fillId="8" borderId="6" xfId="0" applyFill="1" applyBorder="1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8" borderId="0" xfId="0" applyFill="1"/>
    <xf numFmtId="0" fontId="0" fillId="7" borderId="0" xfId="0" applyFill="1" applyBorder="1"/>
    <xf numFmtId="0" fontId="1" fillId="7" borderId="0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8" borderId="0" xfId="0" applyFont="1" applyFill="1" applyBorder="1"/>
    <xf numFmtId="0" fontId="0" fillId="8" borderId="7" xfId="0" applyFill="1" applyBorder="1"/>
    <xf numFmtId="0" fontId="0" fillId="6" borderId="2" xfId="0" applyFill="1" applyBorder="1" applyAlignment="1">
      <alignment horizontal="center" vertical="center" wrapText="1"/>
    </xf>
    <xf numFmtId="0" fontId="0" fillId="8" borderId="0" xfId="0" applyFill="1" applyBorder="1"/>
    <xf numFmtId="0" fontId="0" fillId="9" borderId="2" xfId="0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1" fillId="9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447675</xdr:colOff>
          <xdr:row>1</xdr:row>
          <xdr:rowOff>0</xdr:rowOff>
        </xdr:from>
        <xdr:to>
          <xdr:col>9</xdr:col>
          <xdr:colOff>333375</xdr:colOff>
          <xdr:row>28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12"/>
  <sheetViews>
    <sheetView workbookViewId="0">
      <selection activeCell="Q9" sqref="Q9"/>
    </sheetView>
  </sheetViews>
  <sheetFormatPr defaultRowHeight="15" x14ac:dyDescent="0.25"/>
  <cols>
    <col min="1" max="1" width="3.140625" customWidth="1"/>
    <col min="2" max="2" width="66.140625" customWidth="1"/>
  </cols>
  <sheetData>
    <row r="2" spans="1:2" ht="30" x14ac:dyDescent="0.25">
      <c r="A2" s="1"/>
      <c r="B2" s="6" t="s">
        <v>12</v>
      </c>
    </row>
    <row r="3" spans="1:2" x14ac:dyDescent="0.25">
      <c r="A3" s="1"/>
      <c r="B3" s="6"/>
    </row>
    <row r="6" spans="1:2" x14ac:dyDescent="0.25">
      <c r="A6" s="1"/>
      <c r="B6" s="6" t="s">
        <v>33</v>
      </c>
    </row>
    <row r="7" spans="1:2" ht="30" x14ac:dyDescent="0.25">
      <c r="A7" s="1"/>
      <c r="B7" s="6" t="s">
        <v>75</v>
      </c>
    </row>
    <row r="8" spans="1:2" ht="30" x14ac:dyDescent="0.25">
      <c r="A8" s="1"/>
      <c r="B8" s="6" t="s">
        <v>76</v>
      </c>
    </row>
    <row r="9" spans="1:2" ht="30" x14ac:dyDescent="0.25">
      <c r="A9" s="1"/>
      <c r="B9" s="6" t="s">
        <v>77</v>
      </c>
    </row>
    <row r="12" spans="1:2" ht="45" x14ac:dyDescent="0.25">
      <c r="B12" s="25" t="s">
        <v>117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2049" r:id="rId3">
          <objectPr defaultSize="0" r:id="rId4">
            <anchor moveWithCells="1">
              <from>
                <xdr:col>2</xdr:col>
                <xdr:colOff>447675</xdr:colOff>
                <xdr:row>1</xdr:row>
                <xdr:rowOff>0</xdr:rowOff>
              </from>
              <to>
                <xdr:col>9</xdr:col>
                <xdr:colOff>333375</xdr:colOff>
                <xdr:row>28</xdr:row>
                <xdr:rowOff>114300</xdr:rowOff>
              </to>
            </anchor>
          </objectPr>
        </oleObject>
      </mc:Choice>
      <mc:Fallback>
        <oleObject progId="Visio.Drawing.15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>
      <selection activeCell="C23" sqref="C23"/>
    </sheetView>
  </sheetViews>
  <sheetFormatPr defaultRowHeight="15" x14ac:dyDescent="0.25"/>
  <cols>
    <col min="1" max="1" width="4" customWidth="1"/>
    <col min="2" max="2" width="60.140625" style="5" customWidth="1"/>
    <col min="3" max="3" width="19.42578125" customWidth="1"/>
    <col min="6" max="6" width="41.28515625" customWidth="1"/>
    <col min="7" max="7" width="11.140625" customWidth="1"/>
    <col min="8" max="8" width="18.5703125" customWidth="1"/>
    <col min="9" max="9" width="19.5703125" customWidth="1"/>
    <col min="10" max="10" width="18.28515625" customWidth="1"/>
    <col min="11" max="11" width="23.28515625" customWidth="1"/>
  </cols>
  <sheetData>
    <row r="1" spans="1:13" ht="18.75" customHeight="1" x14ac:dyDescent="0.25"/>
    <row r="2" spans="1:13" x14ac:dyDescent="0.25">
      <c r="A2" t="s">
        <v>0</v>
      </c>
      <c r="B2" s="9" t="s">
        <v>34</v>
      </c>
      <c r="C2" s="10" t="s">
        <v>37</v>
      </c>
      <c r="D2" s="11"/>
      <c r="E2" s="11"/>
      <c r="F2" s="9" t="s">
        <v>60</v>
      </c>
      <c r="G2" s="9"/>
      <c r="H2" s="10" t="s">
        <v>67</v>
      </c>
      <c r="I2" s="11"/>
      <c r="J2" s="11"/>
      <c r="K2" s="11"/>
      <c r="L2" s="11"/>
      <c r="M2" s="11"/>
    </row>
    <row r="3" spans="1:13" x14ac:dyDescent="0.25">
      <c r="B3" s="8" t="s">
        <v>35</v>
      </c>
      <c r="C3" s="4" t="s">
        <v>36</v>
      </c>
      <c r="D3" s="4" t="s">
        <v>4</v>
      </c>
      <c r="E3" s="11"/>
      <c r="F3" s="4" t="s">
        <v>61</v>
      </c>
      <c r="G3" s="4" t="s">
        <v>74</v>
      </c>
      <c r="H3" s="4" t="s">
        <v>62</v>
      </c>
      <c r="I3" s="4" t="s">
        <v>63</v>
      </c>
      <c r="J3" s="4" t="s">
        <v>64</v>
      </c>
      <c r="K3" s="4" t="s">
        <v>71</v>
      </c>
      <c r="L3" s="11"/>
      <c r="M3" s="11"/>
    </row>
    <row r="4" spans="1:13" x14ac:dyDescent="0.25">
      <c r="B4" s="8" t="s">
        <v>16</v>
      </c>
      <c r="C4" s="4">
        <v>0.8</v>
      </c>
      <c r="D4" s="4" t="s">
        <v>5</v>
      </c>
      <c r="E4" s="11"/>
      <c r="F4" s="4" t="s">
        <v>65</v>
      </c>
      <c r="G4" s="4" t="s">
        <v>78</v>
      </c>
      <c r="H4" s="4">
        <v>5</v>
      </c>
      <c r="I4" s="4">
        <v>5</v>
      </c>
      <c r="J4" s="4" t="s">
        <v>69</v>
      </c>
      <c r="K4" s="4" t="s">
        <v>113</v>
      </c>
      <c r="L4" s="11"/>
      <c r="M4" s="11"/>
    </row>
    <row r="5" spans="1:13" x14ac:dyDescent="0.25">
      <c r="B5" s="8" t="s">
        <v>19</v>
      </c>
      <c r="C5" s="4">
        <v>2</v>
      </c>
      <c r="D5" s="4" t="s">
        <v>39</v>
      </c>
      <c r="E5" s="11"/>
      <c r="F5" s="4" t="s">
        <v>68</v>
      </c>
      <c r="G5" s="4" t="s">
        <v>78</v>
      </c>
      <c r="H5" s="4">
        <v>2</v>
      </c>
      <c r="I5" s="4">
        <v>2</v>
      </c>
      <c r="J5" s="4" t="s">
        <v>70</v>
      </c>
      <c r="K5" s="4"/>
      <c r="L5" s="11"/>
      <c r="M5" s="11"/>
    </row>
    <row r="6" spans="1:13" x14ac:dyDescent="0.25">
      <c r="B6" s="8" t="s">
        <v>20</v>
      </c>
      <c r="C6" s="4">
        <v>0.02</v>
      </c>
      <c r="D6" s="4" t="s">
        <v>5</v>
      </c>
      <c r="E6" s="11"/>
      <c r="F6" s="11"/>
      <c r="G6" s="11"/>
      <c r="H6" s="11"/>
      <c r="I6" s="11"/>
      <c r="J6" s="11"/>
      <c r="K6" s="11"/>
      <c r="L6" s="11"/>
      <c r="M6" s="11"/>
    </row>
    <row r="7" spans="1:13" x14ac:dyDescent="0.25">
      <c r="B7" s="8" t="s">
        <v>40</v>
      </c>
      <c r="C7" s="4">
        <v>1E-3</v>
      </c>
      <c r="D7" s="4" t="s">
        <v>5</v>
      </c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B8" s="8" t="s">
        <v>23</v>
      </c>
      <c r="C8" s="4">
        <v>1E-3</v>
      </c>
      <c r="D8" s="4" t="s">
        <v>5</v>
      </c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B9" s="7"/>
      <c r="C9" s="3"/>
      <c r="D9" s="3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25">
      <c r="A11" t="s">
        <v>7</v>
      </c>
      <c r="B11" s="9" t="s">
        <v>41</v>
      </c>
      <c r="C11" s="10" t="s">
        <v>37</v>
      </c>
      <c r="D11" s="11"/>
      <c r="E11" s="11"/>
      <c r="F11" s="9" t="s">
        <v>72</v>
      </c>
      <c r="G11" s="9"/>
      <c r="H11" s="10" t="s">
        <v>67</v>
      </c>
      <c r="I11" s="11"/>
      <c r="J11" s="11"/>
      <c r="K11" s="11"/>
      <c r="L11" s="11"/>
      <c r="M11" s="11"/>
    </row>
    <row r="12" spans="1:13" x14ac:dyDescent="0.25">
      <c r="B12" s="8" t="s">
        <v>35</v>
      </c>
      <c r="C12" s="4" t="s">
        <v>36</v>
      </c>
      <c r="D12" s="4" t="s">
        <v>4</v>
      </c>
      <c r="E12" s="11"/>
      <c r="F12" s="4" t="s">
        <v>61</v>
      </c>
      <c r="G12" s="4" t="s">
        <v>74</v>
      </c>
      <c r="H12" s="4" t="s">
        <v>62</v>
      </c>
      <c r="I12" s="4" t="s">
        <v>63</v>
      </c>
      <c r="J12" s="4" t="s">
        <v>64</v>
      </c>
      <c r="K12" s="4" t="s">
        <v>71</v>
      </c>
      <c r="L12" s="11"/>
      <c r="M12" s="11"/>
    </row>
    <row r="13" spans="1:13" x14ac:dyDescent="0.25">
      <c r="B13" s="8" t="s">
        <v>16</v>
      </c>
      <c r="C13" s="4">
        <v>0.6</v>
      </c>
      <c r="D13" s="4" t="s">
        <v>5</v>
      </c>
      <c r="E13" s="11"/>
      <c r="F13" s="4" t="s">
        <v>65</v>
      </c>
      <c r="G13" s="4" t="s">
        <v>78</v>
      </c>
      <c r="H13" s="4">
        <v>5</v>
      </c>
      <c r="I13" s="4">
        <v>5</v>
      </c>
      <c r="J13" s="4" t="s">
        <v>69</v>
      </c>
      <c r="K13" s="4" t="s">
        <v>113</v>
      </c>
      <c r="L13" s="11"/>
      <c r="M13" s="11"/>
    </row>
    <row r="14" spans="1:13" x14ac:dyDescent="0.25">
      <c r="B14" s="8" t="s">
        <v>42</v>
      </c>
      <c r="C14" s="4">
        <v>0.2</v>
      </c>
      <c r="D14" s="4" t="s">
        <v>5</v>
      </c>
      <c r="E14" s="11"/>
      <c r="F14" s="4" t="s">
        <v>68</v>
      </c>
      <c r="G14" s="4" t="s">
        <v>78</v>
      </c>
      <c r="H14" s="4">
        <v>2</v>
      </c>
      <c r="I14" s="4">
        <v>2</v>
      </c>
      <c r="J14" s="4" t="s">
        <v>70</v>
      </c>
      <c r="K14" s="4"/>
      <c r="L14" s="11"/>
      <c r="M14" s="11"/>
    </row>
    <row r="15" spans="1:13" x14ac:dyDescent="0.25">
      <c r="B15" s="8" t="s">
        <v>19</v>
      </c>
      <c r="C15" s="4">
        <v>2</v>
      </c>
      <c r="D15" s="4" t="s">
        <v>39</v>
      </c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25">
      <c r="B16" s="8" t="s">
        <v>20</v>
      </c>
      <c r="C16" s="4">
        <v>0.02</v>
      </c>
      <c r="D16" s="4" t="s">
        <v>5</v>
      </c>
      <c r="E16" s="11"/>
      <c r="F16" s="11"/>
      <c r="G16" s="11"/>
      <c r="H16" s="11"/>
      <c r="I16" s="11"/>
      <c r="J16" s="11"/>
      <c r="K16" s="11"/>
      <c r="L16" s="11"/>
      <c r="M16" s="11"/>
    </row>
    <row r="17" spans="1:13" x14ac:dyDescent="0.25">
      <c r="B17" s="8" t="s">
        <v>40</v>
      </c>
      <c r="C17" s="4">
        <v>1E-3</v>
      </c>
      <c r="D17" s="4" t="s">
        <v>5</v>
      </c>
      <c r="E17" s="11"/>
      <c r="F17" s="11"/>
      <c r="G17" s="11"/>
      <c r="H17" s="11"/>
      <c r="I17" s="11"/>
      <c r="J17" s="11"/>
      <c r="K17" s="11"/>
      <c r="L17" s="11"/>
      <c r="M17" s="11"/>
    </row>
    <row r="18" spans="1:13" x14ac:dyDescent="0.25">
      <c r="B18" s="8" t="s">
        <v>23</v>
      </c>
      <c r="C18" s="4">
        <v>1E-3</v>
      </c>
      <c r="D18" s="4" t="s">
        <v>5</v>
      </c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25">
      <c r="B19" s="7"/>
      <c r="C19" s="3"/>
      <c r="D19" s="3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25">
      <c r="A20" t="s">
        <v>9</v>
      </c>
      <c r="B20" s="9" t="s">
        <v>59</v>
      </c>
      <c r="C20" s="10" t="s">
        <v>37</v>
      </c>
      <c r="D20" s="11"/>
      <c r="E20" s="11"/>
      <c r="F20" s="9" t="s">
        <v>73</v>
      </c>
      <c r="G20" s="9"/>
      <c r="H20" s="10" t="s">
        <v>67</v>
      </c>
      <c r="I20" s="11"/>
      <c r="J20" s="11"/>
      <c r="K20" s="11"/>
      <c r="L20" s="11"/>
      <c r="M20" s="11"/>
    </row>
    <row r="21" spans="1:13" x14ac:dyDescent="0.25">
      <c r="B21" s="8" t="s">
        <v>35</v>
      </c>
      <c r="C21" s="4" t="s">
        <v>36</v>
      </c>
      <c r="D21" s="4" t="s">
        <v>4</v>
      </c>
      <c r="E21" s="11"/>
      <c r="F21" s="4" t="s">
        <v>61</v>
      </c>
      <c r="G21" s="4" t="s">
        <v>74</v>
      </c>
      <c r="H21" s="4" t="s">
        <v>62</v>
      </c>
      <c r="I21" s="4" t="s">
        <v>63</v>
      </c>
      <c r="J21" s="4" t="s">
        <v>64</v>
      </c>
      <c r="K21" s="4" t="s">
        <v>71</v>
      </c>
      <c r="L21" s="11"/>
      <c r="M21" s="11"/>
    </row>
    <row r="22" spans="1:13" x14ac:dyDescent="0.25">
      <c r="B22" s="8" t="s">
        <v>13</v>
      </c>
      <c r="C22" s="4">
        <v>0.6</v>
      </c>
      <c r="D22" s="4" t="s">
        <v>5</v>
      </c>
      <c r="E22" s="11"/>
      <c r="F22" s="4" t="s">
        <v>65</v>
      </c>
      <c r="G22" s="4" t="s">
        <v>78</v>
      </c>
      <c r="H22" s="4">
        <v>4</v>
      </c>
      <c r="I22" s="4">
        <v>4</v>
      </c>
      <c r="J22" s="4" t="s">
        <v>69</v>
      </c>
      <c r="K22" s="4" t="s">
        <v>113</v>
      </c>
      <c r="L22" s="11"/>
      <c r="M22" s="11"/>
    </row>
    <row r="23" spans="1:13" x14ac:dyDescent="0.25">
      <c r="B23" s="8" t="s">
        <v>19</v>
      </c>
      <c r="C23" s="4">
        <v>2</v>
      </c>
      <c r="D23" s="4" t="s">
        <v>39</v>
      </c>
      <c r="E23" s="11"/>
      <c r="F23" s="4" t="s">
        <v>68</v>
      </c>
      <c r="G23" s="4" t="s">
        <v>78</v>
      </c>
      <c r="H23" s="4">
        <v>1.5</v>
      </c>
      <c r="I23" s="4">
        <v>1.5</v>
      </c>
      <c r="J23" s="4" t="s">
        <v>70</v>
      </c>
      <c r="K23" s="4"/>
      <c r="L23" s="11"/>
      <c r="M23" s="11"/>
    </row>
    <row r="24" spans="1:13" x14ac:dyDescent="0.25">
      <c r="B24" s="8" t="s">
        <v>20</v>
      </c>
      <c r="C24" s="4">
        <v>0.02</v>
      </c>
      <c r="D24" s="4" t="s">
        <v>5</v>
      </c>
      <c r="E24" s="11"/>
      <c r="F24" s="11"/>
      <c r="G24" s="11"/>
      <c r="H24" s="11"/>
      <c r="I24" s="11"/>
      <c r="J24" s="11"/>
      <c r="K24" s="11"/>
      <c r="L24" s="11"/>
      <c r="M24" s="11"/>
    </row>
    <row r="25" spans="1:13" x14ac:dyDescent="0.25">
      <c r="B25" s="8" t="s">
        <v>40</v>
      </c>
      <c r="C25" s="4">
        <v>1E-3</v>
      </c>
      <c r="D25" s="4" t="s">
        <v>5</v>
      </c>
      <c r="E25" s="11"/>
      <c r="F25" s="11"/>
      <c r="G25" s="11"/>
      <c r="H25" s="11"/>
      <c r="I25" s="11"/>
      <c r="J25" s="11"/>
      <c r="K25" s="11"/>
      <c r="L25" s="11"/>
      <c r="M25" s="11"/>
    </row>
    <row r="26" spans="1:13" x14ac:dyDescent="0.25">
      <c r="B26" s="8" t="s">
        <v>23</v>
      </c>
      <c r="C26" s="4">
        <v>1E-3</v>
      </c>
      <c r="D26" s="4" t="s">
        <v>5</v>
      </c>
      <c r="E26" s="11"/>
      <c r="F26" s="11"/>
      <c r="G26" s="11"/>
      <c r="H26" s="11"/>
      <c r="I26" s="11"/>
      <c r="J26" s="11"/>
      <c r="K26" s="11"/>
      <c r="L26" s="11"/>
      <c r="M26" s="11"/>
    </row>
    <row r="27" spans="1:13" x14ac:dyDescent="0.25">
      <c r="B27" s="7"/>
      <c r="C27" s="3"/>
      <c r="D27" s="3"/>
      <c r="E27" s="11"/>
      <c r="F27" s="11"/>
      <c r="G27" s="11"/>
      <c r="H27" s="11"/>
      <c r="I27" s="11"/>
      <c r="J27" s="11"/>
      <c r="K27" s="11"/>
      <c r="L27" s="11"/>
      <c r="M27" s="11"/>
    </row>
    <row r="28" spans="1:13" x14ac:dyDescent="0.25">
      <c r="A28" t="s">
        <v>30</v>
      </c>
      <c r="B28" s="9" t="s">
        <v>83</v>
      </c>
      <c r="C28" s="10" t="s">
        <v>37</v>
      </c>
      <c r="D28" s="11"/>
      <c r="E28" s="11"/>
      <c r="F28" s="9" t="s">
        <v>84</v>
      </c>
      <c r="G28" s="9"/>
      <c r="H28" s="10" t="s">
        <v>66</v>
      </c>
      <c r="I28" s="11"/>
      <c r="J28" s="11"/>
      <c r="K28" s="11"/>
      <c r="L28" s="11"/>
      <c r="M28" s="11"/>
    </row>
    <row r="29" spans="1:13" x14ac:dyDescent="0.25">
      <c r="B29" s="8" t="s">
        <v>35</v>
      </c>
      <c r="C29" s="4" t="s">
        <v>36</v>
      </c>
      <c r="D29" s="4" t="s">
        <v>4</v>
      </c>
      <c r="E29" s="11"/>
      <c r="F29" s="4" t="s">
        <v>61</v>
      </c>
      <c r="G29" s="4" t="s">
        <v>74</v>
      </c>
      <c r="H29" s="4" t="s">
        <v>62</v>
      </c>
      <c r="I29" s="4" t="s">
        <v>63</v>
      </c>
      <c r="J29" s="4" t="s">
        <v>64</v>
      </c>
      <c r="K29" s="4" t="s">
        <v>71</v>
      </c>
      <c r="L29" s="11"/>
      <c r="M29" s="11"/>
    </row>
    <row r="30" spans="1:13" x14ac:dyDescent="0.25">
      <c r="B30" s="8" t="s">
        <v>22</v>
      </c>
      <c r="C30" s="4">
        <v>0.9</v>
      </c>
      <c r="D30" s="4" t="s">
        <v>5</v>
      </c>
      <c r="E30" s="11"/>
      <c r="F30" s="4" t="s">
        <v>79</v>
      </c>
      <c r="G30" s="4" t="s">
        <v>80</v>
      </c>
      <c r="H30" s="4">
        <v>2</v>
      </c>
      <c r="I30" s="4">
        <v>2</v>
      </c>
      <c r="J30" s="4" t="s">
        <v>81</v>
      </c>
      <c r="K30" s="4" t="s">
        <v>113</v>
      </c>
      <c r="L30" s="11"/>
      <c r="M30" s="11"/>
    </row>
    <row r="31" spans="1:13" x14ac:dyDescent="0.25">
      <c r="B31" s="8" t="s">
        <v>19</v>
      </c>
      <c r="C31" s="4">
        <v>1</v>
      </c>
      <c r="D31" s="4" t="s">
        <v>39</v>
      </c>
      <c r="E31" s="11"/>
      <c r="F31" s="4"/>
      <c r="G31" s="4"/>
      <c r="H31" s="4"/>
      <c r="I31" s="4"/>
      <c r="J31" s="4"/>
      <c r="K31" s="4"/>
      <c r="L31" s="11"/>
      <c r="M31" s="11"/>
    </row>
    <row r="32" spans="1:13" x14ac:dyDescent="0.25">
      <c r="B32" s="8" t="s">
        <v>44</v>
      </c>
      <c r="C32" s="4">
        <v>0.02</v>
      </c>
      <c r="D32" s="4" t="s">
        <v>5</v>
      </c>
      <c r="E32" s="11"/>
      <c r="F32" s="11"/>
      <c r="G32" s="11"/>
      <c r="H32" s="11"/>
      <c r="I32" s="11"/>
      <c r="J32" s="11"/>
      <c r="K32" s="11"/>
      <c r="L32" s="11"/>
      <c r="M32" s="11"/>
    </row>
    <row r="33" spans="1:13" x14ac:dyDescent="0.25">
      <c r="B33" s="8" t="s">
        <v>23</v>
      </c>
      <c r="C33" s="4">
        <v>2E-3</v>
      </c>
      <c r="D33" s="4" t="s">
        <v>5</v>
      </c>
      <c r="E33" s="11"/>
      <c r="F33" s="11"/>
      <c r="G33" s="11"/>
      <c r="H33" s="11"/>
      <c r="I33" s="11"/>
      <c r="J33" s="11"/>
      <c r="K33" s="11"/>
      <c r="L33" s="11"/>
      <c r="M33" s="11"/>
    </row>
    <row r="34" spans="1:13" x14ac:dyDescent="0.25">
      <c r="B34" s="8" t="s">
        <v>24</v>
      </c>
      <c r="C34" s="4">
        <v>3.0000000000000001E-3</v>
      </c>
      <c r="D34" s="4" t="s">
        <v>5</v>
      </c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30" x14ac:dyDescent="0.25">
      <c r="A35" t="s">
        <v>31</v>
      </c>
      <c r="B35" s="9" t="s">
        <v>45</v>
      </c>
      <c r="C35" s="10" t="s">
        <v>37</v>
      </c>
      <c r="D35" s="11"/>
      <c r="E35" s="11"/>
      <c r="F35" s="9" t="s">
        <v>86</v>
      </c>
      <c r="G35" s="9"/>
      <c r="H35" s="10" t="s">
        <v>88</v>
      </c>
      <c r="I35" s="11"/>
      <c r="J35" s="11"/>
      <c r="K35" s="11"/>
      <c r="L35" s="11"/>
      <c r="M35" s="11"/>
    </row>
    <row r="36" spans="1:13" x14ac:dyDescent="0.25">
      <c r="B36" s="8" t="s">
        <v>35</v>
      </c>
      <c r="C36" s="4" t="s">
        <v>36</v>
      </c>
      <c r="D36" s="4" t="s">
        <v>4</v>
      </c>
      <c r="E36" s="11"/>
      <c r="F36" s="4" t="s">
        <v>61</v>
      </c>
      <c r="G36" s="4" t="s">
        <v>74</v>
      </c>
      <c r="H36" s="4" t="s">
        <v>62</v>
      </c>
      <c r="I36" s="4" t="s">
        <v>63</v>
      </c>
      <c r="J36" s="4" t="s">
        <v>64</v>
      </c>
      <c r="K36" s="4" t="s">
        <v>71</v>
      </c>
      <c r="L36" s="11"/>
      <c r="M36" s="11"/>
    </row>
    <row r="37" spans="1:13" x14ac:dyDescent="0.25">
      <c r="B37" s="8" t="s">
        <v>46</v>
      </c>
      <c r="C37" s="4">
        <v>0.7</v>
      </c>
      <c r="D37" s="4" t="s">
        <v>5</v>
      </c>
      <c r="E37" s="11"/>
      <c r="F37" s="4" t="s">
        <v>87</v>
      </c>
      <c r="G37" s="4" t="s">
        <v>89</v>
      </c>
      <c r="H37" s="4">
        <v>0.5</v>
      </c>
      <c r="I37" s="4">
        <v>0.5</v>
      </c>
      <c r="J37" s="4" t="s">
        <v>90</v>
      </c>
      <c r="K37" s="4" t="s">
        <v>94</v>
      </c>
      <c r="L37" s="11"/>
      <c r="M37" s="11"/>
    </row>
    <row r="38" spans="1:13" x14ac:dyDescent="0.25">
      <c r="B38" s="8" t="s">
        <v>93</v>
      </c>
      <c r="C38" s="4">
        <v>0.3</v>
      </c>
      <c r="D38" s="4" t="s">
        <v>47</v>
      </c>
      <c r="E38" s="11"/>
      <c r="F38" s="4" t="s">
        <v>91</v>
      </c>
      <c r="G38" s="4" t="s">
        <v>89</v>
      </c>
      <c r="H38" s="4"/>
      <c r="I38" s="4">
        <v>3</v>
      </c>
      <c r="J38" s="4" t="s">
        <v>92</v>
      </c>
      <c r="K38" s="4"/>
      <c r="L38" s="11"/>
      <c r="M38" s="11"/>
    </row>
    <row r="39" spans="1:13" x14ac:dyDescent="0.25"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30" x14ac:dyDescent="0.25">
      <c r="A40" t="s">
        <v>32</v>
      </c>
      <c r="B40" s="9" t="s">
        <v>48</v>
      </c>
      <c r="C40" s="10" t="s">
        <v>37</v>
      </c>
      <c r="D40" s="11"/>
      <c r="E40" s="11"/>
      <c r="F40" s="9" t="s">
        <v>95</v>
      </c>
      <c r="G40" s="9"/>
      <c r="H40" s="10" t="s">
        <v>88</v>
      </c>
      <c r="I40" s="11"/>
      <c r="J40" s="11"/>
      <c r="K40" s="11"/>
      <c r="L40" s="11"/>
      <c r="M40" s="11"/>
    </row>
    <row r="41" spans="1:13" x14ac:dyDescent="0.25">
      <c r="B41" s="8" t="s">
        <v>35</v>
      </c>
      <c r="C41" s="4" t="s">
        <v>36</v>
      </c>
      <c r="D41" s="4" t="s">
        <v>4</v>
      </c>
      <c r="E41" s="11"/>
      <c r="F41" s="4" t="s">
        <v>61</v>
      </c>
      <c r="G41" s="4" t="s">
        <v>74</v>
      </c>
      <c r="H41" s="4" t="s">
        <v>62</v>
      </c>
      <c r="I41" s="4" t="s">
        <v>63</v>
      </c>
      <c r="J41" s="4" t="s">
        <v>64</v>
      </c>
      <c r="K41" s="4" t="s">
        <v>71</v>
      </c>
      <c r="L41" s="11"/>
      <c r="M41" s="11"/>
    </row>
    <row r="42" spans="1:13" x14ac:dyDescent="0.25">
      <c r="B42" s="8" t="s">
        <v>49</v>
      </c>
      <c r="C42" s="4">
        <v>0.7</v>
      </c>
      <c r="D42" s="4" t="s">
        <v>5</v>
      </c>
      <c r="E42" s="11"/>
      <c r="F42" s="4" t="s">
        <v>87</v>
      </c>
      <c r="G42" s="4" t="s">
        <v>89</v>
      </c>
      <c r="H42" s="4">
        <v>0.5</v>
      </c>
      <c r="I42" s="4">
        <v>0.5</v>
      </c>
      <c r="J42" s="4" t="s">
        <v>90</v>
      </c>
      <c r="K42" s="4" t="s">
        <v>96</v>
      </c>
      <c r="L42" s="11"/>
      <c r="M42" s="11"/>
    </row>
    <row r="43" spans="1:13" x14ac:dyDescent="0.25">
      <c r="B43" s="8" t="s">
        <v>85</v>
      </c>
      <c r="C43" s="4">
        <v>0.3</v>
      </c>
      <c r="D43" s="4" t="s">
        <v>47</v>
      </c>
      <c r="E43" s="11"/>
      <c r="F43" s="4" t="s">
        <v>91</v>
      </c>
      <c r="G43" s="4" t="s">
        <v>89</v>
      </c>
      <c r="H43" s="4"/>
      <c r="I43" s="4">
        <v>3</v>
      </c>
      <c r="J43" s="4" t="s">
        <v>92</v>
      </c>
      <c r="K43" s="4"/>
      <c r="L43" s="11"/>
      <c r="M43" s="11"/>
    </row>
    <row r="44" spans="1:13" x14ac:dyDescent="0.25">
      <c r="B44" s="1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30" x14ac:dyDescent="0.25">
      <c r="A45" t="s">
        <v>119</v>
      </c>
      <c r="B45" s="9" t="s">
        <v>50</v>
      </c>
      <c r="C45" s="10" t="s">
        <v>37</v>
      </c>
      <c r="D45" s="11"/>
      <c r="E45" s="11"/>
      <c r="F45" s="9" t="s">
        <v>97</v>
      </c>
      <c r="G45" s="9"/>
      <c r="H45" s="10" t="s">
        <v>88</v>
      </c>
      <c r="I45" s="11"/>
      <c r="J45" s="11"/>
      <c r="K45" s="11"/>
      <c r="L45" s="11"/>
      <c r="M45" s="11"/>
    </row>
    <row r="46" spans="1:13" x14ac:dyDescent="0.25">
      <c r="B46" s="8" t="s">
        <v>35</v>
      </c>
      <c r="C46" s="4" t="s">
        <v>36</v>
      </c>
      <c r="D46" s="4" t="s">
        <v>4</v>
      </c>
      <c r="E46" s="11"/>
      <c r="F46" s="4" t="s">
        <v>61</v>
      </c>
      <c r="G46" s="4" t="s">
        <v>74</v>
      </c>
      <c r="H46" s="4" t="s">
        <v>62</v>
      </c>
      <c r="I46" s="4" t="s">
        <v>63</v>
      </c>
      <c r="J46" s="4" t="s">
        <v>64</v>
      </c>
      <c r="K46" s="4" t="s">
        <v>71</v>
      </c>
      <c r="L46" s="11"/>
      <c r="M46" s="11"/>
    </row>
    <row r="47" spans="1:13" x14ac:dyDescent="0.25">
      <c r="B47" s="8" t="s">
        <v>54</v>
      </c>
      <c r="C47" s="4">
        <v>0.8</v>
      </c>
      <c r="D47" s="4" t="s">
        <v>5</v>
      </c>
      <c r="E47" s="11"/>
      <c r="F47" s="4" t="s">
        <v>98</v>
      </c>
      <c r="G47" s="4" t="s">
        <v>89</v>
      </c>
      <c r="H47" s="4">
        <v>1</v>
      </c>
      <c r="I47" s="4">
        <v>1</v>
      </c>
      <c r="J47" s="4" t="s">
        <v>90</v>
      </c>
      <c r="K47" s="4" t="s">
        <v>99</v>
      </c>
      <c r="L47" s="11"/>
      <c r="M47" s="11"/>
    </row>
    <row r="48" spans="1:13" x14ac:dyDescent="0.25">
      <c r="B48" s="8" t="s">
        <v>51</v>
      </c>
      <c r="C48" s="4">
        <v>0.2</v>
      </c>
      <c r="D48" s="4" t="s">
        <v>47</v>
      </c>
      <c r="E48" s="11"/>
      <c r="F48" s="4" t="s">
        <v>100</v>
      </c>
      <c r="G48" s="4" t="s">
        <v>89</v>
      </c>
      <c r="H48" s="4">
        <v>0.5</v>
      </c>
      <c r="I48" s="4"/>
      <c r="J48" s="4"/>
      <c r="K48" s="4" t="s">
        <v>52</v>
      </c>
      <c r="L48" s="11"/>
      <c r="M48" s="11"/>
    </row>
    <row r="49" spans="1:13" x14ac:dyDescent="0.25">
      <c r="B49" s="8" t="s">
        <v>52</v>
      </c>
      <c r="C49" s="4">
        <v>0.2</v>
      </c>
      <c r="D49" s="4" t="s">
        <v>5</v>
      </c>
      <c r="E49" s="11"/>
      <c r="F49" s="4" t="s">
        <v>101</v>
      </c>
      <c r="G49" s="4" t="s">
        <v>89</v>
      </c>
      <c r="H49" s="4"/>
      <c r="I49" s="4">
        <v>3</v>
      </c>
      <c r="J49" s="4" t="s">
        <v>92</v>
      </c>
      <c r="K49" s="4"/>
      <c r="L49" s="11"/>
      <c r="M49" s="11"/>
    </row>
    <row r="50" spans="1:13" x14ac:dyDescent="0.25">
      <c r="B50" s="8" t="s">
        <v>53</v>
      </c>
      <c r="C50" s="4">
        <v>0.05</v>
      </c>
      <c r="D50" s="4" t="s">
        <v>5</v>
      </c>
      <c r="E50" s="11"/>
      <c r="F50" s="11"/>
      <c r="G50" s="11"/>
      <c r="H50" s="11"/>
      <c r="I50" s="11"/>
      <c r="J50" s="11"/>
      <c r="K50" s="11"/>
      <c r="L50" s="11"/>
      <c r="M50" s="11"/>
    </row>
    <row r="51" spans="1:13" x14ac:dyDescent="0.25">
      <c r="B51" s="12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x14ac:dyDescent="0.25">
      <c r="A52" t="s">
        <v>38</v>
      </c>
      <c r="B52" s="9" t="s">
        <v>82</v>
      </c>
      <c r="C52" s="10" t="s">
        <v>37</v>
      </c>
      <c r="D52" s="11"/>
      <c r="E52" s="11"/>
      <c r="F52" s="9" t="s">
        <v>102</v>
      </c>
      <c r="G52" s="9"/>
      <c r="H52" s="10" t="s">
        <v>88</v>
      </c>
      <c r="I52" s="11"/>
      <c r="J52" s="11"/>
      <c r="K52" s="11"/>
      <c r="L52" s="11"/>
      <c r="M52" s="11"/>
    </row>
    <row r="53" spans="1:13" x14ac:dyDescent="0.25">
      <c r="B53" s="8" t="s">
        <v>35</v>
      </c>
      <c r="C53" s="4" t="s">
        <v>36</v>
      </c>
      <c r="D53" s="4" t="s">
        <v>4</v>
      </c>
      <c r="E53" s="11"/>
      <c r="F53" s="4" t="s">
        <v>61</v>
      </c>
      <c r="G53" s="4" t="s">
        <v>74</v>
      </c>
      <c r="H53" s="4" t="s">
        <v>62</v>
      </c>
      <c r="I53" s="4" t="s">
        <v>63</v>
      </c>
      <c r="J53" s="4" t="s">
        <v>64</v>
      </c>
      <c r="K53" s="4" t="s">
        <v>71</v>
      </c>
      <c r="L53" s="11"/>
      <c r="M53" s="11"/>
    </row>
    <row r="54" spans="1:13" x14ac:dyDescent="0.25">
      <c r="B54" s="8" t="s">
        <v>85</v>
      </c>
      <c r="C54" s="4">
        <v>0.8</v>
      </c>
      <c r="D54" s="4" t="s">
        <v>5</v>
      </c>
      <c r="E54" s="11"/>
      <c r="F54" s="4" t="s">
        <v>103</v>
      </c>
      <c r="G54" s="4" t="s">
        <v>89</v>
      </c>
      <c r="H54" s="4">
        <v>1</v>
      </c>
      <c r="I54" s="4">
        <v>1</v>
      </c>
      <c r="J54" s="4" t="s">
        <v>105</v>
      </c>
      <c r="K54" s="4" t="s">
        <v>104</v>
      </c>
      <c r="L54" s="11"/>
      <c r="M54" s="11"/>
    </row>
    <row r="55" spans="1:13" x14ac:dyDescent="0.25">
      <c r="B55" s="8" t="s">
        <v>51</v>
      </c>
      <c r="C55" s="4">
        <v>0.2</v>
      </c>
      <c r="D55" s="4" t="s">
        <v>47</v>
      </c>
      <c r="E55" s="11"/>
      <c r="F55" s="4"/>
      <c r="G55" s="4"/>
      <c r="H55" s="4"/>
      <c r="I55" s="4"/>
      <c r="J55" s="4"/>
      <c r="K55" s="4"/>
      <c r="L55" s="11"/>
      <c r="M55" s="11"/>
    </row>
    <row r="56" spans="1:13" x14ac:dyDescent="0.25">
      <c r="B56" s="12"/>
      <c r="C56" s="11"/>
      <c r="D56" s="11"/>
      <c r="E56" s="11"/>
      <c r="F56" s="4"/>
      <c r="G56" s="4"/>
      <c r="H56" s="4"/>
      <c r="I56" s="4"/>
      <c r="J56" s="4"/>
      <c r="K56" s="4"/>
      <c r="L56" s="11"/>
      <c r="M56" s="11"/>
    </row>
    <row r="57" spans="1:13" ht="30" x14ac:dyDescent="0.25">
      <c r="A57" t="s">
        <v>43</v>
      </c>
      <c r="B57" s="9" t="s">
        <v>55</v>
      </c>
      <c r="C57" s="10" t="s">
        <v>37</v>
      </c>
      <c r="D57" s="11"/>
      <c r="E57" s="11"/>
      <c r="F57" s="9" t="s">
        <v>106</v>
      </c>
      <c r="G57" s="9"/>
      <c r="H57" s="10" t="s">
        <v>88</v>
      </c>
      <c r="I57" s="11"/>
      <c r="J57" s="11"/>
      <c r="K57" s="11"/>
      <c r="L57" s="11"/>
      <c r="M57" s="11"/>
    </row>
    <row r="58" spans="1:13" x14ac:dyDescent="0.25">
      <c r="B58" s="8" t="s">
        <v>35</v>
      </c>
      <c r="C58" s="4" t="s">
        <v>36</v>
      </c>
      <c r="D58" s="4" t="s">
        <v>4</v>
      </c>
      <c r="E58" s="11"/>
      <c r="F58" s="4" t="s">
        <v>61</v>
      </c>
      <c r="G58" s="4" t="s">
        <v>74</v>
      </c>
      <c r="H58" s="4" t="s">
        <v>62</v>
      </c>
      <c r="I58" s="4" t="s">
        <v>63</v>
      </c>
      <c r="J58" s="4" t="s">
        <v>64</v>
      </c>
      <c r="K58" s="4" t="s">
        <v>71</v>
      </c>
      <c r="L58" s="11"/>
      <c r="M58" s="11"/>
    </row>
    <row r="59" spans="1:13" x14ac:dyDescent="0.25">
      <c r="B59" s="8" t="s">
        <v>56</v>
      </c>
      <c r="C59" s="4">
        <v>0.8</v>
      </c>
      <c r="D59" s="4" t="s">
        <v>5</v>
      </c>
      <c r="E59" s="11"/>
      <c r="F59" s="4" t="s">
        <v>107</v>
      </c>
      <c r="G59" s="4" t="s">
        <v>89</v>
      </c>
      <c r="H59" s="4">
        <v>2</v>
      </c>
      <c r="I59" s="4"/>
      <c r="J59" s="4" t="s">
        <v>108</v>
      </c>
      <c r="K59" s="4" t="s">
        <v>109</v>
      </c>
      <c r="L59" s="11"/>
      <c r="M59" s="11"/>
    </row>
    <row r="60" spans="1:13" x14ac:dyDescent="0.25">
      <c r="B60" s="8" t="s">
        <v>57</v>
      </c>
      <c r="C60" s="4">
        <v>0.2</v>
      </c>
      <c r="D60" s="4" t="s">
        <v>47</v>
      </c>
      <c r="E60" s="11"/>
      <c r="F60" s="4" t="s">
        <v>110</v>
      </c>
      <c r="G60" s="4" t="s">
        <v>89</v>
      </c>
      <c r="H60" s="4">
        <v>2</v>
      </c>
      <c r="I60" s="4"/>
      <c r="J60" s="4" t="s">
        <v>108</v>
      </c>
      <c r="K60" s="4" t="s">
        <v>111</v>
      </c>
      <c r="L60" s="11"/>
      <c r="M60" s="11"/>
    </row>
    <row r="61" spans="1:13" x14ac:dyDescent="0.25">
      <c r="B61" s="8" t="s">
        <v>58</v>
      </c>
      <c r="C61" s="4">
        <v>0.2</v>
      </c>
      <c r="D61" s="4" t="s">
        <v>5</v>
      </c>
      <c r="E61" s="11"/>
      <c r="F61" s="4"/>
      <c r="G61" s="4"/>
      <c r="H61" s="4"/>
      <c r="I61" s="4"/>
      <c r="J61" s="4"/>
      <c r="K61" s="4"/>
      <c r="L61" s="11"/>
      <c r="M61" s="11"/>
    </row>
    <row r="62" spans="1:13" x14ac:dyDescent="0.25">
      <c r="B62" s="8" t="s">
        <v>53</v>
      </c>
      <c r="C62" s="4">
        <v>0.05</v>
      </c>
      <c r="D62" s="4" t="s">
        <v>5</v>
      </c>
      <c r="E62" s="11"/>
      <c r="F62" s="11"/>
      <c r="G62" s="11"/>
      <c r="H62" s="11"/>
      <c r="I62" s="11"/>
      <c r="J62" s="11"/>
      <c r="K62" s="11"/>
      <c r="L62" s="11"/>
      <c r="M62" s="11"/>
    </row>
    <row r="63" spans="1:13" x14ac:dyDescent="0.25">
      <c r="B63" s="8" t="s">
        <v>111</v>
      </c>
      <c r="C63" s="4">
        <v>0.2</v>
      </c>
      <c r="D63" s="4" t="s">
        <v>112</v>
      </c>
      <c r="E63" s="11"/>
      <c r="F63" s="11"/>
      <c r="G63" s="11"/>
      <c r="H63" s="11"/>
      <c r="I63" s="11"/>
      <c r="J63" s="11"/>
      <c r="K63" s="11"/>
      <c r="L63" s="11"/>
      <c r="M63" s="11"/>
    </row>
    <row r="64" spans="1:13" x14ac:dyDescent="0.25"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2:13" x14ac:dyDescent="0.25">
      <c r="B65" s="1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9"/>
  <sheetViews>
    <sheetView workbookViewId="0">
      <selection activeCell="B8" sqref="B8"/>
    </sheetView>
  </sheetViews>
  <sheetFormatPr defaultRowHeight="15" x14ac:dyDescent="0.25"/>
  <cols>
    <col min="1" max="1" width="3" customWidth="1"/>
    <col min="2" max="2" width="56.85546875" customWidth="1"/>
  </cols>
  <sheetData>
    <row r="3" spans="2:4" x14ac:dyDescent="0.25">
      <c r="B3" s="2" t="s">
        <v>114</v>
      </c>
      <c r="C3" s="1"/>
      <c r="D3" s="1"/>
    </row>
    <row r="4" spans="2:4" x14ac:dyDescent="0.25">
      <c r="B4" s="1" t="s">
        <v>115</v>
      </c>
      <c r="C4" s="1">
        <v>400</v>
      </c>
      <c r="D4" s="1" t="s">
        <v>47</v>
      </c>
    </row>
    <row r="5" spans="2:4" x14ac:dyDescent="0.25">
      <c r="B5" s="1" t="s">
        <v>54</v>
      </c>
      <c r="C5" s="1">
        <v>150</v>
      </c>
      <c r="D5" s="1" t="s">
        <v>47</v>
      </c>
    </row>
    <row r="6" spans="2:4" x14ac:dyDescent="0.25">
      <c r="B6" s="1" t="s">
        <v>49</v>
      </c>
      <c r="C6" s="1">
        <v>350</v>
      </c>
      <c r="D6" s="1" t="s">
        <v>47</v>
      </c>
    </row>
    <row r="7" spans="2:4" x14ac:dyDescent="0.25">
      <c r="B7" s="1" t="s">
        <v>46</v>
      </c>
      <c r="C7" s="1">
        <v>100</v>
      </c>
      <c r="D7" s="1" t="s">
        <v>47</v>
      </c>
    </row>
    <row r="8" spans="2:4" x14ac:dyDescent="0.25">
      <c r="B8" s="1" t="s">
        <v>116</v>
      </c>
      <c r="C8" s="1">
        <v>100</v>
      </c>
      <c r="D8" s="1" t="s">
        <v>47</v>
      </c>
    </row>
    <row r="9" spans="2:4" x14ac:dyDescent="0.25">
      <c r="B9" s="1" t="s">
        <v>57</v>
      </c>
      <c r="C9" s="1">
        <v>50</v>
      </c>
      <c r="D9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workbookViewId="0">
      <selection activeCell="E33" sqref="E33"/>
    </sheetView>
  </sheetViews>
  <sheetFormatPr defaultRowHeight="15" x14ac:dyDescent="0.25"/>
  <cols>
    <col min="1" max="1" width="3.7109375" customWidth="1"/>
    <col min="2" max="2" width="66.140625" customWidth="1"/>
  </cols>
  <sheetData>
    <row r="2" spans="1:5" x14ac:dyDescent="0.25">
      <c r="A2" s="13" t="s">
        <v>0</v>
      </c>
      <c r="B2" s="14" t="s">
        <v>1</v>
      </c>
      <c r="C2" s="13" t="s">
        <v>3</v>
      </c>
      <c r="D2" s="13" t="s">
        <v>4</v>
      </c>
    </row>
    <row r="3" spans="1:5" x14ac:dyDescent="0.25">
      <c r="A3" s="13"/>
      <c r="B3" s="15" t="s">
        <v>2</v>
      </c>
      <c r="C3" s="13">
        <v>10</v>
      </c>
      <c r="D3" s="13" t="s">
        <v>5</v>
      </c>
    </row>
    <row r="4" spans="1:5" x14ac:dyDescent="0.25">
      <c r="A4" s="13"/>
      <c r="B4" s="15" t="s">
        <v>6</v>
      </c>
      <c r="C4" s="13">
        <v>0</v>
      </c>
      <c r="D4" s="13" t="s">
        <v>5</v>
      </c>
    </row>
    <row r="5" spans="1:5" x14ac:dyDescent="0.25">
      <c r="A5" s="13"/>
      <c r="B5" s="15" t="s">
        <v>118</v>
      </c>
      <c r="C5" s="13">
        <v>10</v>
      </c>
      <c r="D5" s="13" t="s">
        <v>5</v>
      </c>
    </row>
    <row r="6" spans="1:5" x14ac:dyDescent="0.25">
      <c r="A6" s="16"/>
      <c r="B6" s="17"/>
      <c r="C6" s="16"/>
      <c r="D6" s="16"/>
    </row>
    <row r="7" spans="1:5" x14ac:dyDescent="0.25">
      <c r="A7" s="13" t="s">
        <v>7</v>
      </c>
      <c r="B7" s="14" t="s">
        <v>8</v>
      </c>
      <c r="C7" s="13"/>
      <c r="D7" s="13"/>
    </row>
    <row r="8" spans="1:5" ht="30" x14ac:dyDescent="0.25">
      <c r="A8" s="13"/>
      <c r="B8" s="15" t="s">
        <v>15</v>
      </c>
      <c r="C8" s="13">
        <v>20</v>
      </c>
      <c r="D8" s="13"/>
      <c r="E8">
        <f>C8/100</f>
        <v>0.2</v>
      </c>
    </row>
    <row r="9" spans="1:5" x14ac:dyDescent="0.25">
      <c r="B9" s="5"/>
    </row>
    <row r="10" spans="1:5" x14ac:dyDescent="0.25">
      <c r="A10" s="18" t="s">
        <v>9</v>
      </c>
      <c r="B10" s="19" t="s">
        <v>11</v>
      </c>
      <c r="C10" s="18"/>
      <c r="D10" s="18"/>
    </row>
    <row r="11" spans="1:5" x14ac:dyDescent="0.25">
      <c r="A11" s="18"/>
      <c r="B11" s="20" t="s">
        <v>120</v>
      </c>
      <c r="C11" s="18">
        <v>40</v>
      </c>
      <c r="D11" s="18" t="s">
        <v>5</v>
      </c>
    </row>
    <row r="12" spans="1:5" x14ac:dyDescent="0.25">
      <c r="A12" s="18"/>
      <c r="B12" s="20" t="s">
        <v>121</v>
      </c>
      <c r="C12" s="18">
        <v>10</v>
      </c>
      <c r="D12" s="18" t="s">
        <v>5</v>
      </c>
    </row>
    <row r="13" spans="1:5" x14ac:dyDescent="0.25">
      <c r="A13" s="18"/>
      <c r="B13" s="20" t="s">
        <v>122</v>
      </c>
      <c r="C13" s="18">
        <v>20</v>
      </c>
      <c r="D13" s="18" t="s">
        <v>5</v>
      </c>
    </row>
    <row r="14" spans="1:5" x14ac:dyDescent="0.25">
      <c r="A14" s="21"/>
      <c r="B14" s="22"/>
      <c r="C14" s="21"/>
      <c r="D14" s="21"/>
    </row>
    <row r="15" spans="1:5" x14ac:dyDescent="0.25">
      <c r="A15" s="18" t="s">
        <v>30</v>
      </c>
      <c r="B15" s="19" t="s">
        <v>14</v>
      </c>
      <c r="C15" s="18"/>
      <c r="D15" s="18"/>
    </row>
    <row r="16" spans="1:5" ht="30" x14ac:dyDescent="0.25">
      <c r="A16" s="18"/>
      <c r="B16" s="20" t="s">
        <v>15</v>
      </c>
      <c r="C16" s="18">
        <v>20</v>
      </c>
      <c r="D16" s="18"/>
      <c r="E16">
        <f>C16/100</f>
        <v>0.2</v>
      </c>
    </row>
    <row r="17" spans="1:5" x14ac:dyDescent="0.25">
      <c r="B17" s="5"/>
    </row>
    <row r="18" spans="1:5" x14ac:dyDescent="0.25">
      <c r="A18" s="23" t="s">
        <v>31</v>
      </c>
      <c r="B18" s="24" t="s">
        <v>10</v>
      </c>
      <c r="C18" s="23"/>
      <c r="D18" s="23"/>
    </row>
    <row r="19" spans="1:5" x14ac:dyDescent="0.25">
      <c r="A19" s="23"/>
      <c r="B19" s="25" t="s">
        <v>16</v>
      </c>
      <c r="C19" s="23">
        <v>60</v>
      </c>
      <c r="D19" s="23" t="s">
        <v>5</v>
      </c>
    </row>
    <row r="20" spans="1:5" x14ac:dyDescent="0.25">
      <c r="A20" s="23"/>
      <c r="B20" s="25" t="s">
        <v>17</v>
      </c>
      <c r="C20" s="23">
        <v>2</v>
      </c>
      <c r="D20" s="23" t="s">
        <v>5</v>
      </c>
    </row>
    <row r="21" spans="1:5" x14ac:dyDescent="0.25">
      <c r="A21" s="23"/>
      <c r="B21" s="25" t="s">
        <v>18</v>
      </c>
      <c r="C21" s="23">
        <v>70</v>
      </c>
      <c r="D21" s="23" t="s">
        <v>5</v>
      </c>
    </row>
    <row r="22" spans="1:5" x14ac:dyDescent="0.25">
      <c r="A22" s="23"/>
      <c r="B22" s="25" t="s">
        <v>19</v>
      </c>
      <c r="C22" s="23">
        <v>80</v>
      </c>
      <c r="D22" s="23" t="s">
        <v>27</v>
      </c>
    </row>
    <row r="23" spans="1:5" x14ac:dyDescent="0.25">
      <c r="A23" s="23"/>
      <c r="B23" s="25" t="s">
        <v>20</v>
      </c>
      <c r="C23" s="23">
        <v>5</v>
      </c>
      <c r="D23" s="23" t="s">
        <v>5</v>
      </c>
    </row>
    <row r="24" spans="1:5" x14ac:dyDescent="0.25">
      <c r="A24" s="23"/>
      <c r="B24" s="25" t="s">
        <v>21</v>
      </c>
      <c r="C24" s="23">
        <v>2</v>
      </c>
      <c r="D24" s="23" t="s">
        <v>5</v>
      </c>
    </row>
    <row r="25" spans="1:5" x14ac:dyDescent="0.25">
      <c r="A25" s="23"/>
      <c r="B25" s="25" t="s">
        <v>22</v>
      </c>
      <c r="C25" s="23">
        <v>50</v>
      </c>
      <c r="D25" s="23" t="s">
        <v>5</v>
      </c>
    </row>
    <row r="26" spans="1:5" x14ac:dyDescent="0.25">
      <c r="A26" s="23"/>
      <c r="B26" s="25" t="s">
        <v>23</v>
      </c>
      <c r="C26" s="23">
        <v>10</v>
      </c>
      <c r="D26" s="23" t="s">
        <v>5</v>
      </c>
    </row>
    <row r="27" spans="1:5" x14ac:dyDescent="0.25">
      <c r="A27" s="23"/>
      <c r="B27" s="25" t="s">
        <v>24</v>
      </c>
      <c r="C27" s="23">
        <v>90</v>
      </c>
      <c r="D27" s="23" t="s">
        <v>28</v>
      </c>
    </row>
    <row r="28" spans="1:5" x14ac:dyDescent="0.25">
      <c r="A28" s="23"/>
      <c r="B28" s="25" t="s">
        <v>25</v>
      </c>
      <c r="C28" s="23">
        <v>10</v>
      </c>
      <c r="D28" s="23" t="s">
        <v>5</v>
      </c>
    </row>
    <row r="29" spans="1:5" x14ac:dyDescent="0.25">
      <c r="A29" s="23"/>
      <c r="B29" s="25" t="s">
        <v>26</v>
      </c>
      <c r="C29" s="23">
        <v>5</v>
      </c>
      <c r="D29" s="23" t="s">
        <v>5</v>
      </c>
    </row>
    <row r="30" spans="1:5" x14ac:dyDescent="0.25">
      <c r="A30" s="26"/>
      <c r="B30" s="27"/>
      <c r="C30" s="26"/>
      <c r="D30" s="26"/>
    </row>
    <row r="31" spans="1:5" x14ac:dyDescent="0.25">
      <c r="A31" s="23" t="s">
        <v>32</v>
      </c>
      <c r="B31" s="24" t="s">
        <v>29</v>
      </c>
      <c r="C31" s="23"/>
      <c r="D31" s="23"/>
    </row>
    <row r="32" spans="1:5" ht="30" x14ac:dyDescent="0.25">
      <c r="A32" s="23"/>
      <c r="B32" s="25" t="s">
        <v>15</v>
      </c>
      <c r="C32" s="23">
        <v>30</v>
      </c>
      <c r="D32" s="23"/>
      <c r="E32">
        <f>C32/100</f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abSelected="1" topLeftCell="A10" workbookViewId="0">
      <selection activeCell="O40" sqref="O40"/>
    </sheetView>
  </sheetViews>
  <sheetFormatPr defaultRowHeight="15" x14ac:dyDescent="0.25"/>
  <cols>
    <col min="2" max="2" width="23.140625" customWidth="1"/>
    <col min="3" max="3" width="14" customWidth="1"/>
    <col min="4" max="4" width="13.85546875" customWidth="1"/>
    <col min="5" max="5" width="12.28515625" customWidth="1"/>
    <col min="6" max="6" width="15.28515625" customWidth="1"/>
    <col min="7" max="7" width="11.85546875" customWidth="1"/>
    <col min="8" max="8" width="15.85546875" customWidth="1"/>
    <col min="9" max="9" width="35.5703125" customWidth="1"/>
    <col min="14" max="14" width="10.5703125" customWidth="1"/>
  </cols>
  <sheetData>
    <row r="1" spans="1:20" ht="15.75" thickBot="1" x14ac:dyDescent="0.3"/>
    <row r="2" spans="1:20" ht="15.75" thickBot="1" x14ac:dyDescent="0.3">
      <c r="B2" s="28" t="s">
        <v>128</v>
      </c>
      <c r="M2" s="34" t="s">
        <v>129</v>
      </c>
      <c r="N2" s="33"/>
      <c r="O2" s="32"/>
    </row>
    <row r="3" spans="1:20" ht="56.25" customHeight="1" thickBot="1" x14ac:dyDescent="0.3">
      <c r="B3" s="29" t="s">
        <v>35</v>
      </c>
      <c r="C3" s="30" t="s">
        <v>123</v>
      </c>
      <c r="D3" s="30" t="s">
        <v>124</v>
      </c>
      <c r="E3" s="30" t="s">
        <v>114</v>
      </c>
      <c r="F3" s="30" t="s">
        <v>125</v>
      </c>
      <c r="G3" s="30" t="s">
        <v>126</v>
      </c>
      <c r="H3" s="30" t="s">
        <v>127</v>
      </c>
      <c r="M3" s="43" t="s">
        <v>5</v>
      </c>
      <c r="N3" s="44" t="s">
        <v>27</v>
      </c>
      <c r="O3" s="59" t="s">
        <v>112</v>
      </c>
    </row>
    <row r="4" spans="1:20" ht="33.75" customHeight="1" thickBot="1" x14ac:dyDescent="0.3">
      <c r="B4" s="38" t="s">
        <v>115</v>
      </c>
      <c r="C4" s="37" t="str">
        <f>'Лабораторная работа №5'!$M$3</f>
        <v>кг</v>
      </c>
      <c r="D4" s="37">
        <f>СкладОстатки!C3</f>
        <v>10</v>
      </c>
      <c r="E4" s="37">
        <f>ЗаказыКлиентов!$C$4</f>
        <v>400</v>
      </c>
      <c r="F4" s="37">
        <f>E4-D4+H4</f>
        <v>470</v>
      </c>
      <c r="G4" s="37">
        <v>0</v>
      </c>
      <c r="H4" s="37">
        <f>E4*СкладОстатки!$E$8</f>
        <v>80</v>
      </c>
    </row>
    <row r="5" spans="1:20" ht="34.5" customHeight="1" thickBot="1" x14ac:dyDescent="0.3">
      <c r="B5" s="38" t="str">
        <f>ЗаказыКлиентов!B8</f>
        <v>Цыпленок фаршированный</v>
      </c>
      <c r="C5" s="37" t="str">
        <f>'Лабораторная работа №5'!$M$3</f>
        <v>кг</v>
      </c>
      <c r="D5" s="37">
        <f>СкладОстатки!C4</f>
        <v>0</v>
      </c>
      <c r="E5" s="37">
        <f>ЗаказыКлиентов!$C$8</f>
        <v>100</v>
      </c>
      <c r="F5" s="37">
        <f>E5-D5+H5</f>
        <v>120</v>
      </c>
      <c r="G5" s="37">
        <v>0</v>
      </c>
      <c r="H5" s="37">
        <f>E5*СкладОстатки!$E$8</f>
        <v>20</v>
      </c>
      <c r="I5" s="39"/>
    </row>
    <row r="6" spans="1:20" ht="32.25" customHeight="1" x14ac:dyDescent="0.25">
      <c r="A6" s="35"/>
      <c r="B6" s="35"/>
      <c r="C6" s="36"/>
      <c r="D6" s="36"/>
      <c r="E6" s="36"/>
      <c r="F6" s="36"/>
      <c r="G6" s="36"/>
      <c r="H6" s="36"/>
    </row>
    <row r="7" spans="1:20" ht="38.25" customHeight="1" x14ac:dyDescent="0.25">
      <c r="A7" s="40"/>
      <c r="B7" s="41"/>
      <c r="C7" s="41"/>
      <c r="D7" s="41"/>
      <c r="E7" s="41"/>
      <c r="F7" s="41"/>
      <c r="G7" s="41"/>
      <c r="H7" s="4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</row>
    <row r="8" spans="1:20" ht="36.75" customHeight="1" x14ac:dyDescent="0.25">
      <c r="A8" s="40"/>
      <c r="B8" s="41"/>
      <c r="C8" s="41"/>
      <c r="D8" s="41"/>
      <c r="E8" s="41"/>
      <c r="F8" s="41"/>
      <c r="G8" s="41"/>
      <c r="H8" s="4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</row>
    <row r="9" spans="1:20" ht="36.75" customHeight="1" x14ac:dyDescent="0.25">
      <c r="A9" s="35"/>
      <c r="B9" s="36"/>
      <c r="C9" s="36"/>
      <c r="D9" s="36"/>
      <c r="E9" s="36"/>
      <c r="F9" s="36"/>
      <c r="G9" s="36"/>
      <c r="H9" s="36"/>
    </row>
    <row r="10" spans="1:20" ht="15.75" thickBot="1" x14ac:dyDescent="0.3">
      <c r="B10" s="28" t="s">
        <v>130</v>
      </c>
    </row>
    <row r="11" spans="1:20" ht="66.75" customHeight="1" thickBot="1" x14ac:dyDescent="0.3">
      <c r="B11" s="29" t="s">
        <v>132</v>
      </c>
      <c r="C11" s="30" t="s">
        <v>123</v>
      </c>
      <c r="D11" s="30" t="s">
        <v>124</v>
      </c>
      <c r="E11" s="30" t="s">
        <v>114</v>
      </c>
      <c r="F11" s="30" t="s">
        <v>125</v>
      </c>
      <c r="G11" s="30" t="s">
        <v>126</v>
      </c>
      <c r="H11" s="30" t="s">
        <v>127</v>
      </c>
      <c r="I11" s="48" t="s">
        <v>135</v>
      </c>
    </row>
    <row r="12" spans="1:20" ht="15.75" thickBot="1" x14ac:dyDescent="0.3">
      <c r="A12" s="39"/>
      <c r="B12" s="38" t="s">
        <v>57</v>
      </c>
      <c r="C12" s="37" t="str">
        <f>$M$3</f>
        <v>кг</v>
      </c>
      <c r="D12" s="42">
        <f>СкладОстатки!C12</f>
        <v>10</v>
      </c>
      <c r="E12" s="42">
        <f>ЗаказыКлиентов!C9</f>
        <v>50</v>
      </c>
      <c r="F12" s="37">
        <f>E12-D12+H12</f>
        <v>40</v>
      </c>
      <c r="G12" s="37">
        <v>0</v>
      </c>
      <c r="H12" s="37">
        <f>I12*СкладОстатки!$E$16</f>
        <v>0</v>
      </c>
      <c r="I12" s="47">
        <v>0</v>
      </c>
      <c r="J12" s="39"/>
      <c r="K12" s="49"/>
      <c r="L12" s="49"/>
      <c r="M12" s="49"/>
      <c r="N12" s="49"/>
      <c r="O12" s="49"/>
      <c r="P12" s="49"/>
      <c r="Q12" s="49"/>
      <c r="R12" s="49"/>
      <c r="S12" s="49"/>
      <c r="T12" s="49"/>
    </row>
    <row r="13" spans="1:20" ht="15.75" thickBot="1" x14ac:dyDescent="0.3">
      <c r="A13" s="39"/>
      <c r="B13" s="54" t="str">
        <f>ЗаказыКлиентов!B5</f>
        <v>Фарш куриный</v>
      </c>
      <c r="C13" s="51" t="str">
        <f t="shared" ref="C13:C15" si="0">$M$3</f>
        <v>кг</v>
      </c>
      <c r="D13" s="54">
        <f>СкладОстатки!C13</f>
        <v>20</v>
      </c>
      <c r="E13" s="54">
        <f>ЗаказыКлиентов!C5</f>
        <v>150</v>
      </c>
      <c r="F13" s="51">
        <f>E13+I13+H13-D13</f>
        <v>581.20000000000005</v>
      </c>
      <c r="G13" s="51">
        <v>0</v>
      </c>
      <c r="H13" s="57">
        <f>I13*СкладОстатки!$E$16</f>
        <v>75.2</v>
      </c>
      <c r="I13" s="53">
        <f>F4*ОсновныеДанные!C47</f>
        <v>376</v>
      </c>
      <c r="J13" s="39"/>
      <c r="K13" s="49"/>
      <c r="L13" s="49"/>
      <c r="M13" s="49"/>
      <c r="N13" s="49"/>
      <c r="O13" s="49"/>
      <c r="P13" s="49"/>
      <c r="Q13" s="49"/>
      <c r="R13" s="49"/>
      <c r="S13" s="49"/>
      <c r="T13" s="49"/>
    </row>
    <row r="14" spans="1:20" ht="15.75" thickBot="1" x14ac:dyDescent="0.3">
      <c r="B14" s="38" t="str">
        <f>ЗаказыКлиентов!B6</f>
        <v>Фарш домашний</v>
      </c>
      <c r="C14" s="37" t="str">
        <f t="shared" si="0"/>
        <v>кг</v>
      </c>
      <c r="D14" s="43">
        <f>СкладОстатки!C11</f>
        <v>40</v>
      </c>
      <c r="E14" s="43">
        <f>ЗаказыКлиентов!C6</f>
        <v>350</v>
      </c>
      <c r="F14" s="56">
        <f>E14+I14+H14-D14</f>
        <v>310</v>
      </c>
      <c r="G14" s="37">
        <v>0</v>
      </c>
      <c r="H14" s="37">
        <f>I14*СкладОстатки!$E$16</f>
        <v>0</v>
      </c>
      <c r="I14" s="32">
        <v>0</v>
      </c>
      <c r="J14" s="39"/>
    </row>
    <row r="15" spans="1:20" ht="15.75" thickBot="1" x14ac:dyDescent="0.3">
      <c r="B15" s="38" t="str">
        <f>ЗаказыКлиентов!B7</f>
        <v>Фарш говяжий</v>
      </c>
      <c r="C15" s="37" t="str">
        <f t="shared" si="0"/>
        <v>кг</v>
      </c>
      <c r="D15" s="45">
        <v>0</v>
      </c>
      <c r="E15" s="45">
        <f>ЗаказыКлиентов!C7</f>
        <v>100</v>
      </c>
      <c r="F15" s="56">
        <f t="shared" ref="F15:F16" si="1">E15+I15+H15-D15</f>
        <v>100</v>
      </c>
      <c r="G15" s="37">
        <v>0</v>
      </c>
      <c r="H15" s="37">
        <f>I15*СкладОстатки!$E$16</f>
        <v>0</v>
      </c>
      <c r="I15" s="32">
        <v>0</v>
      </c>
      <c r="J15" s="39"/>
    </row>
    <row r="16" spans="1:20" ht="15.75" thickBot="1" x14ac:dyDescent="0.3">
      <c r="B16" s="50" t="s">
        <v>85</v>
      </c>
      <c r="C16" s="51" t="str">
        <f>M3</f>
        <v>кг</v>
      </c>
      <c r="D16" s="52">
        <v>0</v>
      </c>
      <c r="E16" s="52">
        <v>0</v>
      </c>
      <c r="F16" s="51">
        <f t="shared" si="1"/>
        <v>38.4</v>
      </c>
      <c r="G16" s="51">
        <v>0</v>
      </c>
      <c r="H16" s="57">
        <f>I16*СкладОстатки!$E$16</f>
        <v>6.4</v>
      </c>
      <c r="I16" s="53">
        <f>F12*ОсновныеДанные!C54</f>
        <v>32</v>
      </c>
      <c r="J16" s="39"/>
    </row>
    <row r="17" spans="1:19" x14ac:dyDescent="0.25">
      <c r="B17" s="46"/>
      <c r="C17" s="46"/>
      <c r="D17" s="46"/>
      <c r="E17" s="46"/>
      <c r="F17" s="46"/>
      <c r="G17" s="46"/>
      <c r="H17" s="46"/>
    </row>
    <row r="18" spans="1:19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1:19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</row>
    <row r="20" spans="1:19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</row>
    <row r="21" spans="1:19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</row>
    <row r="23" spans="1:19" ht="15.75" thickBot="1" x14ac:dyDescent="0.3">
      <c r="B23" s="28" t="s">
        <v>131</v>
      </c>
    </row>
    <row r="24" spans="1:19" ht="45.75" thickBot="1" x14ac:dyDescent="0.3">
      <c r="B24" s="29" t="s">
        <v>133</v>
      </c>
      <c r="C24" s="30" t="s">
        <v>123</v>
      </c>
      <c r="D24" s="30" t="s">
        <v>124</v>
      </c>
      <c r="E24" s="30" t="s">
        <v>114</v>
      </c>
      <c r="F24" s="30" t="s">
        <v>125</v>
      </c>
      <c r="G24" s="30" t="s">
        <v>126</v>
      </c>
      <c r="H24" s="30" t="s">
        <v>127</v>
      </c>
      <c r="I24" s="48" t="s">
        <v>134</v>
      </c>
    </row>
    <row r="25" spans="1:19" ht="15.75" thickBot="1" x14ac:dyDescent="0.3">
      <c r="B25" s="58" t="s">
        <v>51</v>
      </c>
      <c r="C25" s="37" t="str">
        <f>$M$3</f>
        <v>кг</v>
      </c>
      <c r="D25" s="38">
        <v>0</v>
      </c>
      <c r="E25" s="38">
        <v>0</v>
      </c>
      <c r="F25" s="37">
        <v>0</v>
      </c>
      <c r="G25" s="37">
        <f>I25-D25+H25</f>
        <v>132.6</v>
      </c>
      <c r="H25" s="37">
        <f>I25*СкладОстатки!$E$32</f>
        <v>30.599999999999998</v>
      </c>
      <c r="I25" s="60">
        <f>F12*ОсновныеДанные!C55+F4*ОсновныеДанные!C48</f>
        <v>102</v>
      </c>
      <c r="J25" t="s">
        <v>141</v>
      </c>
    </row>
    <row r="26" spans="1:19" ht="15.75" thickBot="1" x14ac:dyDescent="0.3">
      <c r="B26" s="45" t="s">
        <v>13</v>
      </c>
      <c r="C26" s="37" t="str">
        <f>$M$3</f>
        <v>кг</v>
      </c>
      <c r="D26" s="43">
        <f>СкладОстатки!C21</f>
        <v>70</v>
      </c>
      <c r="E26" s="38">
        <v>0</v>
      </c>
      <c r="F26" s="37">
        <v>0</v>
      </c>
      <c r="G26" s="37">
        <f t="shared" ref="G26:G39" si="2">I26-D26+H26</f>
        <v>508.13600000000002</v>
      </c>
      <c r="H26" s="37">
        <f>I26*СкладОстатки!$E$32</f>
        <v>133.416</v>
      </c>
      <c r="I26" s="43">
        <f>F13*ОсновныеДанные!C22 + F5*ОсновныеДанные!C59</f>
        <v>444.72</v>
      </c>
      <c r="J26" t="s">
        <v>140</v>
      </c>
    </row>
    <row r="27" spans="1:19" ht="15.75" thickBot="1" x14ac:dyDescent="0.3">
      <c r="B27" s="45" t="s">
        <v>19</v>
      </c>
      <c r="C27" s="37" t="str">
        <f>$N$3</f>
        <v>шт</v>
      </c>
      <c r="D27" s="45">
        <f>СкладОстатки!C22</f>
        <v>80</v>
      </c>
      <c r="E27" s="38">
        <v>0</v>
      </c>
      <c r="F27" s="37">
        <v>0</v>
      </c>
      <c r="G27" s="37">
        <f>_xlfn.CEILING.MATH(I27-D27+H27)</f>
        <v>2548</v>
      </c>
      <c r="H27" s="37">
        <f>_xlfn.CEILING.MATH(I27*СкладОстатки!$E$32)</f>
        <v>607</v>
      </c>
      <c r="I27" s="43">
        <f>F13*ОсновныеДанные!C23 + F16*ОсновныеДанные!C31 + F15*ОсновныеДанные!C5 +F14*ОсновныеДанные!C15</f>
        <v>2020.8000000000002</v>
      </c>
      <c r="J27" t="s">
        <v>139</v>
      </c>
    </row>
    <row r="28" spans="1:19" ht="18.75" customHeight="1" thickBot="1" x14ac:dyDescent="0.3">
      <c r="B28" s="45" t="s">
        <v>20</v>
      </c>
      <c r="C28" s="37" t="str">
        <f>$M$3</f>
        <v>кг</v>
      </c>
      <c r="D28" s="45">
        <f>СкладОстатки!C23</f>
        <v>5</v>
      </c>
      <c r="E28" s="38">
        <v>0</v>
      </c>
      <c r="F28" s="37">
        <v>0</v>
      </c>
      <c r="G28" s="37">
        <f t="shared" si="2"/>
        <v>20.7712</v>
      </c>
      <c r="H28" s="37">
        <f>I28*СкладОстатки!$E$32</f>
        <v>5.9472000000000005</v>
      </c>
      <c r="I28" s="43">
        <f>F13*ОсновныеДанные!C24+F14*ОсновныеДанные!C16+F15*ОсновныеДанные!C6</f>
        <v>19.824000000000002</v>
      </c>
      <c r="J28" t="s">
        <v>138</v>
      </c>
    </row>
    <row r="29" spans="1:19" ht="15.75" thickBot="1" x14ac:dyDescent="0.3">
      <c r="B29" s="45" t="s">
        <v>40</v>
      </c>
      <c r="C29" s="37" t="str">
        <f>$M$3</f>
        <v>кг</v>
      </c>
      <c r="D29" s="45">
        <f>0</f>
        <v>0</v>
      </c>
      <c r="E29" s="38">
        <v>0</v>
      </c>
      <c r="F29" s="37">
        <v>0</v>
      </c>
      <c r="G29" s="37">
        <f t="shared" si="2"/>
        <v>1.2885599999999999</v>
      </c>
      <c r="H29" s="37">
        <f>I29*СкладОстатки!$E$32</f>
        <v>0.29735999999999996</v>
      </c>
      <c r="I29" s="37">
        <f>F13*ОсновныеДанные!C25+F14*ОсновныеДанные!C17+F15*ОсновныеДанные!C7</f>
        <v>0.99119999999999997</v>
      </c>
      <c r="J29" t="s">
        <v>138</v>
      </c>
      <c r="N29" s="35"/>
      <c r="O29" s="35"/>
      <c r="P29" s="35"/>
      <c r="Q29" s="35"/>
    </row>
    <row r="30" spans="1:19" ht="15.75" thickBot="1" x14ac:dyDescent="0.3">
      <c r="B30" s="45" t="s">
        <v>23</v>
      </c>
      <c r="C30" s="37" t="str">
        <f t="shared" ref="C30:C39" si="3">$M$3</f>
        <v>кг</v>
      </c>
      <c r="D30" s="45">
        <f>СкладОстатки!C26</f>
        <v>10</v>
      </c>
      <c r="E30" s="38">
        <v>0</v>
      </c>
      <c r="F30" s="37">
        <v>0</v>
      </c>
      <c r="G30" s="37">
        <f t="shared" si="2"/>
        <v>-8.611600000000001</v>
      </c>
      <c r="H30" s="37">
        <f>I30*СкладОстатки!$E$32</f>
        <v>0.32040000000000002</v>
      </c>
      <c r="I30" s="37">
        <f>F13*ОсновныеДанные!C26+F14*ОсновныеДанные!C18+F15*ОсновныеДанные!C8+F16*ОсновныеДанные!C33</f>
        <v>1.0680000000000001</v>
      </c>
      <c r="J30" t="s">
        <v>137</v>
      </c>
      <c r="N30" s="35"/>
      <c r="O30" s="35"/>
      <c r="P30" s="35"/>
      <c r="Q30" s="35"/>
    </row>
    <row r="31" spans="1:19" ht="15.75" thickBot="1" x14ac:dyDescent="0.3">
      <c r="B31" s="45" t="s">
        <v>22</v>
      </c>
      <c r="C31" s="37" t="str">
        <f t="shared" si="3"/>
        <v>кг</v>
      </c>
      <c r="D31" s="45">
        <f>СкладОстатки!C25</f>
        <v>50</v>
      </c>
      <c r="E31" s="38">
        <v>0</v>
      </c>
      <c r="F31" s="37">
        <v>0</v>
      </c>
      <c r="G31" s="37">
        <f t="shared" si="2"/>
        <v>-5.0719999999999974</v>
      </c>
      <c r="H31" s="37">
        <f>I31*СкладОстатки!$E$32</f>
        <v>10.368</v>
      </c>
      <c r="I31" s="37">
        <f>F16*ОсновныеДанные!C30</f>
        <v>34.56</v>
      </c>
      <c r="J31" t="s">
        <v>142</v>
      </c>
      <c r="N31" s="35"/>
      <c r="O31" s="35"/>
      <c r="P31" s="35"/>
      <c r="Q31" s="35"/>
    </row>
    <row r="32" spans="1:19" ht="15.75" thickBot="1" x14ac:dyDescent="0.3">
      <c r="B32" s="45" t="s">
        <v>44</v>
      </c>
      <c r="C32" s="37" t="str">
        <f t="shared" si="3"/>
        <v>кг</v>
      </c>
      <c r="D32" s="45">
        <v>0</v>
      </c>
      <c r="E32" s="38">
        <v>0</v>
      </c>
      <c r="F32" s="37">
        <v>0</v>
      </c>
      <c r="G32" s="37">
        <f t="shared" si="2"/>
        <v>0.99839999999999995</v>
      </c>
      <c r="H32" s="37">
        <f>I32*СкладОстатки!$E$32</f>
        <v>0.23039999999999999</v>
      </c>
      <c r="I32" s="37">
        <f>F16*ОсновныеДанные!C32</f>
        <v>0.76800000000000002</v>
      </c>
      <c r="J32" t="s">
        <v>142</v>
      </c>
      <c r="N32" s="35"/>
      <c r="O32" s="55"/>
      <c r="P32" s="35"/>
      <c r="Q32" s="35"/>
    </row>
    <row r="33" spans="2:17" ht="15.75" thickBot="1" x14ac:dyDescent="0.3">
      <c r="B33" s="45" t="s">
        <v>24</v>
      </c>
      <c r="C33" s="37" t="s">
        <v>28</v>
      </c>
      <c r="D33" s="45">
        <f>СкладОстатки!C27</f>
        <v>90</v>
      </c>
      <c r="E33" s="38">
        <v>0</v>
      </c>
      <c r="F33" s="37">
        <v>0</v>
      </c>
      <c r="G33" s="37">
        <f t="shared" si="2"/>
        <v>-89.850239999999999</v>
      </c>
      <c r="H33" s="37">
        <f>I33*СкладОстатки!$E$32</f>
        <v>3.456E-2</v>
      </c>
      <c r="I33" s="37">
        <f>F16*ОсновныеДанные!C34</f>
        <v>0.1152</v>
      </c>
      <c r="J33" t="s">
        <v>142</v>
      </c>
      <c r="N33" s="35"/>
      <c r="O33" s="55"/>
      <c r="P33" s="35"/>
      <c r="Q33" s="35"/>
    </row>
    <row r="34" spans="2:17" ht="15.75" thickBot="1" x14ac:dyDescent="0.3">
      <c r="B34" s="45" t="s">
        <v>16</v>
      </c>
      <c r="C34" s="37" t="str">
        <f t="shared" si="3"/>
        <v>кг</v>
      </c>
      <c r="D34" s="45">
        <f>СкладОстатки!C19</f>
        <v>60</v>
      </c>
      <c r="E34" s="38">
        <v>0</v>
      </c>
      <c r="F34" s="37">
        <v>0</v>
      </c>
      <c r="G34" s="37">
        <f t="shared" si="2"/>
        <v>285.8</v>
      </c>
      <c r="H34" s="37">
        <f>I34*СкладОстатки!$E$32</f>
        <v>79.8</v>
      </c>
      <c r="I34" s="37">
        <f>F14*ОсновныеДанные!C13+F15*ОсновныеДанные!C4</f>
        <v>266</v>
      </c>
      <c r="J34" t="s">
        <v>136</v>
      </c>
      <c r="N34" s="35"/>
      <c r="O34" s="55"/>
      <c r="P34" s="35"/>
      <c r="Q34" s="35"/>
    </row>
    <row r="35" spans="2:17" ht="15.75" thickBot="1" x14ac:dyDescent="0.3">
      <c r="B35" s="45" t="s">
        <v>42</v>
      </c>
      <c r="C35" s="37" t="str">
        <f t="shared" si="3"/>
        <v>кг</v>
      </c>
      <c r="D35" s="45">
        <f>СкладОстатки!C20</f>
        <v>2</v>
      </c>
      <c r="E35" s="38">
        <v>0</v>
      </c>
      <c r="F35" s="37">
        <v>0</v>
      </c>
      <c r="G35" s="37">
        <f t="shared" si="2"/>
        <v>78.599999999999994</v>
      </c>
      <c r="H35" s="37">
        <f>I35*СкладОстатки!$E$32</f>
        <v>18.599999999999998</v>
      </c>
      <c r="I35" s="37">
        <f>F14*ОсновныеДанные!C14</f>
        <v>62</v>
      </c>
      <c r="J35" t="s">
        <v>120</v>
      </c>
      <c r="N35" s="35"/>
      <c r="O35" s="55"/>
      <c r="P35" s="35"/>
      <c r="Q35" s="35"/>
    </row>
    <row r="36" spans="2:17" ht="15.75" thickBot="1" x14ac:dyDescent="0.3">
      <c r="B36" s="45" t="s">
        <v>58</v>
      </c>
      <c r="C36" s="37" t="str">
        <f t="shared" si="3"/>
        <v>кг</v>
      </c>
      <c r="D36" s="45">
        <f>СкладОстатки!C28</f>
        <v>10</v>
      </c>
      <c r="E36" s="38">
        <v>0</v>
      </c>
      <c r="F36" s="37">
        <v>0</v>
      </c>
      <c r="G36" s="37">
        <f t="shared" si="2"/>
        <v>21.2</v>
      </c>
      <c r="H36" s="37">
        <f>I36*СкладОстатки!$E$32</f>
        <v>7.1999999999999993</v>
      </c>
      <c r="I36" s="37">
        <f>F5*ОсновныеДанные!C61</f>
        <v>24</v>
      </c>
      <c r="J36" t="s">
        <v>143</v>
      </c>
      <c r="N36" s="35"/>
      <c r="O36" s="55"/>
      <c r="P36" s="35"/>
      <c r="Q36" s="35"/>
    </row>
    <row r="37" spans="2:17" ht="15.75" thickBot="1" x14ac:dyDescent="0.3">
      <c r="B37" s="45" t="s">
        <v>53</v>
      </c>
      <c r="C37" s="37" t="str">
        <f t="shared" si="3"/>
        <v>кг</v>
      </c>
      <c r="D37" s="45">
        <f>СкладОстатки!C29</f>
        <v>5</v>
      </c>
      <c r="E37" s="38">
        <v>0</v>
      </c>
      <c r="F37" s="37">
        <v>0</v>
      </c>
      <c r="G37" s="37">
        <f t="shared" si="2"/>
        <v>25.615000000000002</v>
      </c>
      <c r="H37" s="37">
        <f>I37*СкладОстатки!$E$32</f>
        <v>7.0650000000000004</v>
      </c>
      <c r="I37" s="37">
        <f>F4*ОсновныеДанные!C50+ОсновныеДанные!C62</f>
        <v>23.55</v>
      </c>
      <c r="J37" t="s">
        <v>144</v>
      </c>
      <c r="N37" s="35"/>
      <c r="O37" s="55"/>
      <c r="P37" s="35"/>
      <c r="Q37" s="35"/>
    </row>
    <row r="38" spans="2:17" ht="15.75" thickBot="1" x14ac:dyDescent="0.3">
      <c r="B38" s="45" t="s">
        <v>111</v>
      </c>
      <c r="C38" s="37" t="str">
        <f>$O$3</f>
        <v>м кв</v>
      </c>
      <c r="D38" s="45">
        <v>0</v>
      </c>
      <c r="E38" s="38">
        <v>0</v>
      </c>
      <c r="F38" s="37">
        <v>0</v>
      </c>
      <c r="G38" s="37">
        <f t="shared" si="2"/>
        <v>31.2</v>
      </c>
      <c r="H38" s="37">
        <f>I38*СкладОстатки!$E$32</f>
        <v>7.1999999999999993</v>
      </c>
      <c r="I38" s="37">
        <f>'Лабораторная работа №5'!F5*ОсновныеДанные!C63</f>
        <v>24</v>
      </c>
      <c r="N38" s="35"/>
      <c r="O38" s="55"/>
      <c r="P38" s="35"/>
      <c r="Q38" s="35"/>
    </row>
    <row r="39" spans="2:17" ht="15.75" thickBot="1" x14ac:dyDescent="0.3">
      <c r="B39" s="45" t="s">
        <v>52</v>
      </c>
      <c r="C39" s="37" t="str">
        <f t="shared" si="3"/>
        <v>кг</v>
      </c>
      <c r="D39" s="45">
        <v>0</v>
      </c>
      <c r="E39" s="38">
        <v>0</v>
      </c>
      <c r="F39" s="37">
        <v>0</v>
      </c>
      <c r="G39" s="37">
        <f t="shared" si="2"/>
        <v>122.2</v>
      </c>
      <c r="H39" s="37">
        <f>I39*СкладОстатки!$E$32</f>
        <v>28.2</v>
      </c>
      <c r="I39" s="37">
        <f>F4*ОсновныеДанные!C49</f>
        <v>94</v>
      </c>
      <c r="N39" s="35"/>
      <c r="O39" s="55"/>
      <c r="P39" s="35"/>
      <c r="Q39" s="35"/>
    </row>
    <row r="40" spans="2:17" x14ac:dyDescent="0.25">
      <c r="N40" s="35"/>
      <c r="O40" s="55"/>
      <c r="P40" s="35"/>
      <c r="Q40" s="35"/>
    </row>
    <row r="41" spans="2:17" x14ac:dyDescent="0.25">
      <c r="N41" s="35"/>
      <c r="O41" s="55"/>
      <c r="P41" s="35"/>
      <c r="Q41" s="35"/>
    </row>
    <row r="42" spans="2:17" x14ac:dyDescent="0.25">
      <c r="N42" s="35"/>
      <c r="O42" s="55"/>
      <c r="P42" s="35"/>
      <c r="Q42" s="35"/>
    </row>
    <row r="43" spans="2:17" x14ac:dyDescent="0.25">
      <c r="N43" s="35"/>
      <c r="O43" s="55"/>
      <c r="P43" s="35"/>
      <c r="Q43" s="35"/>
    </row>
    <row r="44" spans="2:17" x14ac:dyDescent="0.25">
      <c r="N44" s="35"/>
      <c r="O44" s="55"/>
      <c r="P44" s="35"/>
      <c r="Q44" s="35"/>
    </row>
    <row r="45" spans="2:17" x14ac:dyDescent="0.25">
      <c r="N45" s="35"/>
      <c r="O45" s="55"/>
      <c r="P45" s="35"/>
      <c r="Q45" s="3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ОсновныеДанные</vt:lpstr>
      <vt:lpstr>ЗаказыКлиентов</vt:lpstr>
      <vt:lpstr>СкладОстатки</vt:lpstr>
      <vt:lpstr>Лабораторная работа №5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Melkikh, Elena</dc:creator>
  <cp:lastModifiedBy>Pavel Yakovlevich</cp:lastModifiedBy>
  <dcterms:created xsi:type="dcterms:W3CDTF">2017-02-06T11:32:46Z</dcterms:created>
  <dcterms:modified xsi:type="dcterms:W3CDTF">2021-01-30T18:57:22Z</dcterms:modified>
</cp:coreProperties>
</file>